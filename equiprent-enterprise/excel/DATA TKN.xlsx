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LAPKEU" sheetId="2" r:id="rId6"/>
    <sheet state="visible" name="REKAP TAGIHAN " sheetId="3" r:id="rId7"/>
    <sheet state="visible" name="REKAP STOCK" sheetId="4" r:id="rId8"/>
  </sheets>
  <definedNames/>
  <calcPr/>
</workbook>
</file>

<file path=xl/sharedStrings.xml><?xml version="1.0" encoding="utf-8"?>
<sst xmlns="http://schemas.openxmlformats.org/spreadsheetml/2006/main" count="406" uniqueCount="334">
  <si>
    <t>1. REKAP STOCK</t>
  </si>
  <si>
    <t>NAMA ALAT + QTY</t>
  </si>
  <si>
    <t>NAMA CUSTOMER + PROYEK (LANGSUNG MASUKAN QTY KEBUTUHAN ALAT + HARGA SATUAN ALAT)</t>
  </si>
  <si>
    <t>STOCK PER GUDANG</t>
  </si>
  <si>
    <t>A</t>
  </si>
  <si>
    <t>BALIKPAPAN (NAMA ALAT + QTY)</t>
  </si>
  <si>
    <t>B</t>
  </si>
  <si>
    <t>BEKASI (NAMA ALAT + QTY)</t>
  </si>
  <si>
    <t>C</t>
  </si>
  <si>
    <t>CILEUNGSI (NAMA ALAT + QTY)</t>
  </si>
  <si>
    <t>STOCK KESELURUHAN GUDANG A+B+C (NAMA ALAT + QTY)</t>
  </si>
  <si>
    <t>PERPINDAHAN STOCK</t>
  </si>
  <si>
    <t>PEMBELIAN ALAT / PRODUKSI</t>
  </si>
  <si>
    <t>TRANSIT ANTAR GUDANG (MENAMBAH / MENGURANGI STOCK MASING MASING GUDANG)</t>
  </si>
  <si>
    <t>PENGIRIMAN KE PROYEK (MENGURANGI STOCK GUDANG)</t>
  </si>
  <si>
    <t>D</t>
  </si>
  <si>
    <t>PEMULANGAN DARI PROREK (MENAMBAH STOCK GUDANG)</t>
  </si>
  <si>
    <t>E</t>
  </si>
  <si>
    <t>PENJUALAN KE CUSTOMER (MENGURANGI STOCK GUDANG)</t>
  </si>
  <si>
    <t>STOCK MASING MASING PROYEK</t>
  </si>
  <si>
    <t>KEBUTUHAN ALAT</t>
  </si>
  <si>
    <t>PENGIRIMAN ALAT (RINCIAN PER SJ)</t>
  </si>
  <si>
    <t>SISA KEBUTUHAN ALAT (A-B)</t>
  </si>
  <si>
    <t>PEMULANGAN ALAT (RINCIAN PER SJ)</t>
  </si>
  <si>
    <t>LAPORAN STOCK (STOCK GUDANG + STOCK PROYEK )</t>
  </si>
  <si>
    <t>2. PIUTANG</t>
  </si>
  <si>
    <t>REKAPITULASI TAGIHAN</t>
  </si>
  <si>
    <t>NAMA BARANG, QTY, HARGA SATUAN (DITARIK DARI REKAP STOCK MASING2 PROYEK)</t>
  </si>
  <si>
    <t>PRIODE SEWA</t>
  </si>
  <si>
    <t>&gt;</t>
  </si>
  <si>
    <t>AWAL (DITARIK DARI TANGGAL PENGIRIMAN)</t>
  </si>
  <si>
    <t>AKHIR (DITARIK DARI TANGGAL PEMULANGAN)</t>
  </si>
  <si>
    <t>NOTE : JIKA BELUM ADA PEMULANGAN BISA DI ADJUST MENGGUNAKAN TANGGAL YG DI INGINKAN)</t>
  </si>
  <si>
    <t>AWAL</t>
  </si>
  <si>
    <t>AKHIR</t>
  </si>
  <si>
    <t>JUMLAH HARI</t>
  </si>
  <si>
    <t>HARI (JUMLAH TANGGAL AKHIR - TANGGAL AWAL+1)</t>
  </si>
  <si>
    <t>30/10/2026</t>
  </si>
  <si>
    <t>BULAN SEWA (TEMPLATE : 30 )</t>
  </si>
  <si>
    <t>TOTAL ( QTY x Hari x Harga Satuan : Bulan Sewa)</t>
  </si>
  <si>
    <t>INVOICE (SUDAH DITARIK JADI TAGIHAN)</t>
  </si>
  <si>
    <t>PEMBAYARAN TAGIHAN (DITARIK DARI INVOICE / BAIK CICILAN MAUPUN LUNAS)</t>
  </si>
  <si>
    <t>LAPORAN PIUTANG (TOTAL INVOICE DIKURANG - TOTAL PEMBAYARAN TAGIHAN)</t>
  </si>
  <si>
    <t>SPECIAL CASE</t>
  </si>
  <si>
    <t>INVOICE BAYANGAN (DI INPUT MANUAL ; QTY &amp; HARGA SATUAN, CUSTOMER, DAN PROJECT, PRIODE SEWA )</t>
  </si>
  <si>
    <t>3. LAPORAN KAS</t>
  </si>
  <si>
    <t>Account: Debit, Kredit, Amount</t>
  </si>
  <si>
    <t>I</t>
  </si>
  <si>
    <t>CASH ACCOUNT</t>
  </si>
  <si>
    <t>Saldo Awal Kas Perusahaan :</t>
  </si>
  <si>
    <t>A.Kas Masuk (Bon Biru ) = Menambah Saldo Kas</t>
  </si>
  <si>
    <t>-</t>
  </si>
  <si>
    <t>Terima Pemindahan/ Penarikan dari saldo Bank ke Tunai</t>
  </si>
  <si>
    <t>Penjualan Tunai</t>
  </si>
  <si>
    <t>Pembayaran Piutang Tunai</t>
  </si>
  <si>
    <t>Penerimaan Uang muka customer</t>
  </si>
  <si>
    <t>Terima pinjaman</t>
  </si>
  <si>
    <t>Pengembalian Uang dari supplier/ koreksi Biaya/ pengembalian pinjaman karyawan</t>
  </si>
  <si>
    <t>Pendapatan lain-lain</t>
  </si>
  <si>
    <t>B. Kas Keluar (Bon Merah ) = Mengurangi Saldo kas</t>
  </si>
  <si>
    <t>Biaya Biaya Operasional</t>
  </si>
  <si>
    <t>Pembayaran Hutang supplier</t>
  </si>
  <si>
    <t>Pembayaran gaji, sewa dan Pajak</t>
  </si>
  <si>
    <t>Pemberian kasbon karyawan</t>
  </si>
  <si>
    <t>Bayar Pinjaman</t>
  </si>
  <si>
    <t>II</t>
  </si>
  <si>
    <t>BANK ACCOUNT</t>
  </si>
  <si>
    <t>Bank Masuk (Bon Biru ) = Menambah Saldo Bank</t>
  </si>
  <si>
    <t>Penerimaan Pinjaman</t>
  </si>
  <si>
    <t>Terima pembayaran Piutang</t>
  </si>
  <si>
    <t>Penerimaan uang muka dari customer</t>
  </si>
  <si>
    <t>Pengembalian dari Supplier</t>
  </si>
  <si>
    <t>Terima Pindah dana dari bank lain perusahaan</t>
  </si>
  <si>
    <t>Bunga/ Jasa Giro</t>
  </si>
  <si>
    <t>Bank Keluar (Bon Merah ) = Mengurangi Saldo Bank</t>
  </si>
  <si>
    <t>Penarikan Tunai dari saldo bank untuk mengisi kas</t>
  </si>
  <si>
    <t>Pembayaran Supplier (Bayar pembelian barang/ Jasa, Aset dan lainnya )</t>
  </si>
  <si>
    <t>Pembayaran Pinjaman</t>
  </si>
  <si>
    <t>Biaya Administrasi bank dan Pajak bank</t>
  </si>
  <si>
    <t>III</t>
  </si>
  <si>
    <t>REKONSILIASI BANK</t>
  </si>
  <si>
    <t>Mencocokan transaksi yang ada di sistem perusahaan dengan mutasi rekening bank.</t>
  </si>
  <si>
    <t>FINANCE &amp; ACCOUNTING</t>
  </si>
  <si>
    <t>JURNAL ATAS LAPORAN KAS (LAPKAS)</t>
  </si>
  <si>
    <t>1. Input data transaksi: Kas, Bank A, Bank B, Bank C</t>
  </si>
  <si>
    <t>CONTOH FORMAT REKAP TRANSAKSI</t>
  </si>
  <si>
    <t>DETAIL:</t>
  </si>
  <si>
    <t>Kode Transaksi</t>
  </si>
  <si>
    <t>tanggal transaksi</t>
  </si>
  <si>
    <t>Source</t>
  </si>
  <si>
    <t>Nama Transaksi</t>
  </si>
  <si>
    <t>Jurnal</t>
  </si>
  <si>
    <t>Debet</t>
  </si>
  <si>
    <t>Kredit</t>
  </si>
  <si>
    <t>a. Source: Kas/Bank A/Bank B/Bank C/dst</t>
  </si>
  <si>
    <t>BMBCA01</t>
  </si>
  <si>
    <t>11 JANUARI</t>
  </si>
  <si>
    <t>BANK A</t>
  </si>
  <si>
    <t>BELI BATU</t>
  </si>
  <si>
    <t>BIAYA RUMAH TANGGA</t>
  </si>
  <si>
    <t>b. nama Transksi: ...</t>
  </si>
  <si>
    <t>BBBCA01</t>
  </si>
  <si>
    <t>TERIMA PEMBAYARAN</t>
  </si>
  <si>
    <t>PIUTANG</t>
  </si>
  <si>
    <t>c. Jurnal: Biaya Rumah Tangga/Biaya Perjalanan Dinas/Piutang/dst</t>
  </si>
  <si>
    <t>d. Debit: ...</t>
  </si>
  <si>
    <t>c. Kredit: ....</t>
  </si>
  <si>
    <t>2. Pengelompokan per Jurnal menjadi laporan CoA (Chart of Account)</t>
  </si>
  <si>
    <t>- TARIK DATA KASIR ATAS LAPORAN KAS</t>
  </si>
  <si>
    <t>SALDO AWAL 2026 = SALDO AKHIR MUTASI 2025 (COA)</t>
  </si>
  <si>
    <t>A. MENGKLASIFIKASIKAN COA (CHART OF ACCOUNT) DALAM JURNAL</t>
  </si>
  <si>
    <t>TANGGAL - NAMA AKUN - URAIAN - DEBET - KREDIT - SALDO</t>
  </si>
  <si>
    <t>B. POSTING BUKU BESAR</t>
  </si>
  <si>
    <t>- KAS &amp; BANK (TRANSAKSI PER TANGGAL DENGAN NOMINAL SECARA GLOBAL (TANGGAL- DEBET - KREDIT - SALDO)</t>
  </si>
  <si>
    <t>- BIAYA (TRANSAKSI PER TANGGAL DENGAN NOMINAL SECARA DETAIL (TANGGAL- KETERANGAN - DEBET - KREDIT - SALDO)</t>
  </si>
  <si>
    <t>C. PENYUSUNAN KERTAS KERJA</t>
  </si>
  <si>
    <t>- TARIK DATA DARI BUKU BESAR</t>
  </si>
  <si>
    <t>- TARIK DATA DARI PENJUALAN , PURCHASING, HUTANG , STOCK , PIUTANG, KAS &amp; BANK, PIUTANG, ASSET</t>
  </si>
  <si>
    <t>- MUTASI BALANCE (NAMA AKUN - DEBET - KREDIT)</t>
  </si>
  <si>
    <t>- NERACA BALANCE ( SUMBER DATA BUKU BESAR KLASIFIKASI KAS BANK, ASSET, PIUTANG, HUTANG, MODAL, AKM PENYUSUTAN )</t>
  </si>
  <si>
    <t>D. JURNAL PENYESUAIAN</t>
  </si>
  <si>
    <t>- ENTRY JURNAL PENYESUAIAN --&gt; TERLINK DENGAN BUKU BESAR DAN NERACA SESUAI NAMA AKUN (UNTUK MELAKUKAN KOREKSI ATAS TRANSAKSI)</t>
  </si>
  <si>
    <t>- NERACA SETELAH PENYESUAIAN</t>
  </si>
  <si>
    <t>- LABA RUGI</t>
  </si>
  <si>
    <t>FORMAT →</t>
  </si>
  <si>
    <t>A.PENDAPATAN (DATA DARI PENJUALAN)</t>
  </si>
  <si>
    <t>XXX</t>
  </si>
  <si>
    <t>PERSEDIAAN AWAL</t>
  </si>
  <si>
    <t>PEMBELIAN</t>
  </si>
  <si>
    <t>PERSEDIAAN AKHIR</t>
  </si>
  <si>
    <t>B. HPP</t>
  </si>
  <si>
    <t>C. LABA KOTOR</t>
  </si>
  <si>
    <t>F. (A-B)</t>
  </si>
  <si>
    <t>BIAYA</t>
  </si>
  <si>
    <t>D. TOTAL BIAYA</t>
  </si>
  <si>
    <t>E. LABA BERSIH</t>
  </si>
  <si>
    <t>(F-E)</t>
  </si>
  <si>
    <t>1. KLASIFIKASIKAN LABA RUGI SESUAI DENGAN PROYEK BERJALAN</t>
  </si>
  <si>
    <t>- DATA BIAYA DI AMBIL DARI BUKU BESAR (SESUAI DENGAN NAMA AKUN)</t>
  </si>
  <si>
    <t>- DATA PENJUALAN DI AMBIL DARI DATA AR (SESUAI DENGAN PROYEK)</t>
  </si>
  <si>
    <t>- DATA PERSEDIAAN DI AMBIL DARI DATA STOCK (SESUAI DENGAN PROYEK)</t>
  </si>
  <si>
    <t>2. KLASIFIKASIKAN LABA RUGI SESUAI SECARA KESELURUHAN PENJUALAN DAN BIAYA</t>
  </si>
  <si>
    <t>- DATA DI AMBIL DARI BUKU BESAR</t>
  </si>
  <si>
    <t>- DATA PENJUALAN DI AMBIL DARI DATA AR</t>
  </si>
  <si>
    <t>- DATA PERSEDIAAN DI AMBIL DARI DATA STOCK</t>
  </si>
  <si>
    <t>TAX</t>
  </si>
  <si>
    <t>TERLINK KLASIFIKASI BUKU BESAR ATAS PAJAK PPH 23 DAN PPN DARI BUKU BESAR</t>
  </si>
  <si>
    <t>FORMAT SESUAI XML CORETAX -- SUPAYA DAPAT LANGSUNG UPLOAD KE SISTEM CORETAX</t>
  </si>
  <si>
    <t>contoh format lamporan worskheet bulanan</t>
  </si>
  <si>
    <t>KETERANGAN</t>
  </si>
  <si>
    <t>NERACA 2025</t>
  </si>
  <si>
    <t>MUTASI JAN -AGUSTUS 2026</t>
  </si>
  <si>
    <t>ADJUSMENT 2026</t>
  </si>
  <si>
    <t>NERACA JAN - AGUST 2026</t>
  </si>
  <si>
    <t>LABA RUGI JAN - AGST 2026</t>
  </si>
  <si>
    <t>DEBET</t>
  </si>
  <si>
    <t>KREDIT</t>
  </si>
  <si>
    <t>KAS</t>
  </si>
  <si>
    <t>contoh format lamporan laba rugi</t>
  </si>
  <si>
    <t>LAPORAN LABA RUGI PER JUNI 2026</t>
  </si>
  <si>
    <t>PENDAPATAN :</t>
  </si>
  <si>
    <t>PENJUALAN</t>
  </si>
  <si>
    <t>RETUR PENJUALAN</t>
  </si>
  <si>
    <t>PENDAPATAN BUNGA</t>
  </si>
  <si>
    <t>PENDAPATAN SEWA (TVW)</t>
  </si>
  <si>
    <t>PENDAPATAN LAIN-LAIN</t>
  </si>
  <si>
    <t>HPP</t>
  </si>
  <si>
    <t>STOK AWAL</t>
  </si>
  <si>
    <t>BARANG TERSEDIA UNTUK DIJUAL</t>
  </si>
  <si>
    <t>STOK AKHIR</t>
  </si>
  <si>
    <t>BIAYA:</t>
  </si>
  <si>
    <t>BIAYA GAJI</t>
  </si>
  <si>
    <t>BIAYA KESEJAHTERAAN KARYAWAN</t>
  </si>
  <si>
    <t>BIAYA PENGOBATAN</t>
  </si>
  <si>
    <t>BIAYA PERJALANAN DINAS</t>
  </si>
  <si>
    <t>BIAYA TELEPHON</t>
  </si>
  <si>
    <t>BIAYA LISTRIK</t>
  </si>
  <si>
    <t>BIAYA KONTRAKAN</t>
  </si>
  <si>
    <t>BIAYA JNE &amp; MATERAI</t>
  </si>
  <si>
    <t>BIAYA EKSPEDISI</t>
  </si>
  <si>
    <t>BIAYA ANGKUT PENJUALAN</t>
  </si>
  <si>
    <t>BIAYA ANGKUT PEMBELIAN</t>
  </si>
  <si>
    <t>BIAYA POTONGAN PENJUALAN</t>
  </si>
  <si>
    <t>BIAYA IZIN DAN IURAN</t>
  </si>
  <si>
    <t>BIAYA ATK</t>
  </si>
  <si>
    <t>BIAYA RINGLOCK</t>
  </si>
  <si>
    <t>BIAYA BEKISTING</t>
  </si>
  <si>
    <t>BIAYA ADMINISTRASI</t>
  </si>
  <si>
    <t>BIAYA ADMINISTRASI BANK</t>
  </si>
  <si>
    <t>BIAYA SEWA PERALATAN KANTOR</t>
  </si>
  <si>
    <t>BIAYA SEWA</t>
  </si>
  <si>
    <t>BIAYA PEMELIHARAAN PERALATAN KANTOR</t>
  </si>
  <si>
    <t>BIAYA PEMELIHARAAN GEDUNG</t>
  </si>
  <si>
    <t>BIAYA SEWA KENDARAAN</t>
  </si>
  <si>
    <t>BIAYA PEMELIHARAAN KENDARAAN</t>
  </si>
  <si>
    <t>BIAYA PENYUSUTAN KENDARAAN</t>
  </si>
  <si>
    <t>BIAYA PENYUSUTAN PERALATAN KANTOR</t>
  </si>
  <si>
    <t>BIAYA PEMELIHARAAN MESIN</t>
  </si>
  <si>
    <t>BIAYA PENYUSUTAN MESIN</t>
  </si>
  <si>
    <t>BIAYA ENTERTAIMENT</t>
  </si>
  <si>
    <t>BIAYA KOMISI</t>
  </si>
  <si>
    <t>BIAYA MARKETING</t>
  </si>
  <si>
    <t>BIAYA LAIN-LAIN</t>
  </si>
  <si>
    <t>BIAYA IKLAN</t>
  </si>
  <si>
    <t>BIAYA PAJAK</t>
  </si>
  <si>
    <t>PENDAPATAN BUNGA DAN JASA GIRO</t>
  </si>
  <si>
    <t>LABA/RUGI SELISIH KURS</t>
  </si>
  <si>
    <t>LABA/RUGI BERJALAN</t>
  </si>
  <si>
    <t>contoh format laporan neraca</t>
  </si>
  <si>
    <t>NERACA PER JUNI 2026</t>
  </si>
  <si>
    <t>AKTIVA</t>
  </si>
  <si>
    <t>PASIVA</t>
  </si>
  <si>
    <t>AKTIVA LANCAR</t>
  </si>
  <si>
    <t>LIABILITAS</t>
  </si>
  <si>
    <t>PINJAMAN PEMEGANG SAHAM</t>
  </si>
  <si>
    <t>BANK PERMATA</t>
  </si>
  <si>
    <t>HUTANG PAJAK</t>
  </si>
  <si>
    <t>BANK BCA 5790</t>
  </si>
  <si>
    <t>HUTANG DAGANG</t>
  </si>
  <si>
    <t>BANK BCA 9712</t>
  </si>
  <si>
    <t>HUTANG DAGANG SUMPIT</t>
  </si>
  <si>
    <t>BANK MANDIRI SYARIAH</t>
  </si>
  <si>
    <t>BIAYA YANG MASIH HARUS DIBAYAR</t>
  </si>
  <si>
    <t>BANK DANAMON</t>
  </si>
  <si>
    <t>BANK BTN</t>
  </si>
  <si>
    <t>BANK BNI PGC</t>
  </si>
  <si>
    <t>BANK BNI 197</t>
  </si>
  <si>
    <t>BANK BNI TAPLUS BISNIS</t>
  </si>
  <si>
    <t>BANK BNI PAYROLL</t>
  </si>
  <si>
    <t>BNI CNY</t>
  </si>
  <si>
    <t>BANK BNI 1706</t>
  </si>
  <si>
    <t>BANK BCA SS</t>
  </si>
  <si>
    <t>BANK BCA SB</t>
  </si>
  <si>
    <t>BANK MANDIRI</t>
  </si>
  <si>
    <t>BANK GARANSI 096</t>
  </si>
  <si>
    <t>BANK BNI 672</t>
  </si>
  <si>
    <t>BANK BRI CIBUBUR</t>
  </si>
  <si>
    <t>GIRGANT M</t>
  </si>
  <si>
    <t>GIRGANT K</t>
  </si>
  <si>
    <t>BANK CIMB</t>
  </si>
  <si>
    <t>BANK BNI VALAS JTN</t>
  </si>
  <si>
    <t>BANK BNI VALAS KELAPA GADING</t>
  </si>
  <si>
    <t>BANK DANAMON VALAS</t>
  </si>
  <si>
    <t>PIUTANG DAGANG</t>
  </si>
  <si>
    <t>UANG MUKA MASUK DAN KELUAR</t>
  </si>
  <si>
    <t>PIUTANG DAGANG GIRGANT M</t>
  </si>
  <si>
    <t>UANG JAMINAN SEWA</t>
  </si>
  <si>
    <t>PIUTANG PAJAK</t>
  </si>
  <si>
    <t>PIUTANG DAGANG SUMPIT</t>
  </si>
  <si>
    <t>PINJAMAN KARYAWAN</t>
  </si>
  <si>
    <t>PINJAMAN MANDOR</t>
  </si>
  <si>
    <t>PPN MASUKAN/KELUARAN</t>
  </si>
  <si>
    <t>PERSEDIAAN BARANG DAGANGAN</t>
  </si>
  <si>
    <t>PERSEDIAAN BARANG DAGANGAN SUMPIT</t>
  </si>
  <si>
    <t>UANG MUKA IMPORT</t>
  </si>
  <si>
    <t>TOTAL AKTIVA LANCAR</t>
  </si>
  <si>
    <t>TOTAL</t>
  </si>
  <si>
    <t>EKUITAS</t>
  </si>
  <si>
    <t>MODAL</t>
  </si>
  <si>
    <t>AKTIVA TETAP</t>
  </si>
  <si>
    <t>INVENTARIS KENDARAAN</t>
  </si>
  <si>
    <t>AKUMULASI PENYUSUTAN KENDARAAN</t>
  </si>
  <si>
    <t>LABA/ RUGIDITAHAN</t>
  </si>
  <si>
    <t>INVENTARIS KANTOR</t>
  </si>
  <si>
    <t>LABA BERJALAN JUNI 2026</t>
  </si>
  <si>
    <t>AKUMULASI PENYUSUTAN KANTOR</t>
  </si>
  <si>
    <t>INVENTARIS MESIN</t>
  </si>
  <si>
    <t>AKUMULASI PENYUSUTAN MESIN</t>
  </si>
  <si>
    <t>TOTAL AKTIVA TETAP</t>
  </si>
  <si>
    <t>TOTAL AKTIVA</t>
  </si>
  <si>
    <t>TOTAL PASIVA</t>
  </si>
  <si>
    <t>Kepada Yth,</t>
  </si>
  <si>
    <t>KSO APG - FYP</t>
  </si>
  <si>
    <t>Proyek : Pembangunan Sekolah Rakyat Kaltim, di Samarinda</t>
  </si>
  <si>
    <t>Periode Sewa : 04 April 2026 s/d 15 Juni 2026</t>
  </si>
  <si>
    <t>Nama Barang</t>
  </si>
  <si>
    <t>Periode Sewa</t>
  </si>
  <si>
    <t>Hari (D)</t>
  </si>
  <si>
    <t>Bulan (M)</t>
  </si>
  <si>
    <t>Qty (Q)</t>
  </si>
  <si>
    <t>Harga (P)</t>
  </si>
  <si>
    <t>Jumlah (DxQxP)/M</t>
  </si>
  <si>
    <t>Awal</t>
  </si>
  <si>
    <t>Akhir</t>
  </si>
  <si>
    <t>PO 1</t>
  </si>
  <si>
    <t>Vertical 1,5M</t>
  </si>
  <si>
    <t>Vertical 1M</t>
  </si>
  <si>
    <t>Horizontal 1,2M</t>
  </si>
  <si>
    <t>Horizontal 1,8M</t>
  </si>
  <si>
    <t>U Head 60</t>
  </si>
  <si>
    <t>Jack Base 60</t>
  </si>
  <si>
    <t>DPP 11/12</t>
  </si>
  <si>
    <t>PPN 12%</t>
  </si>
  <si>
    <t>REKAP STOCK PROJECT: PEMBANGUNAN SEKOLAH RAKYAT KALTIM, SAMARINDA</t>
  </si>
  <si>
    <t>PROYEK APG FYP - KSO</t>
  </si>
  <si>
    <t>SURAT JALAN</t>
  </si>
  <si>
    <t>VERTIKAL 1,5 M</t>
  </si>
  <si>
    <t>VERTIKAL 1 M</t>
  </si>
  <si>
    <t>HORISONTAL 1,2 M</t>
  </si>
  <si>
    <t>HORISONTAL 1,8 M</t>
  </si>
  <si>
    <t>U HEAD 60</t>
  </si>
  <si>
    <t>JACKBASE 60</t>
  </si>
  <si>
    <t>009/IV/26/JKT-SW</t>
  </si>
  <si>
    <t>010/IV/26/JKT-SW</t>
  </si>
  <si>
    <t>011/IV/26/JKT-SW</t>
  </si>
  <si>
    <t>012/IV/26/JKT-SW</t>
  </si>
  <si>
    <t>033/IV/26/JKT-SW</t>
  </si>
  <si>
    <t>057/IV/26/JKT-SW</t>
  </si>
  <si>
    <t>076/IV/26/JKT-SW</t>
  </si>
  <si>
    <t>080/IV/26/JKT-SW</t>
  </si>
  <si>
    <t>082/IV/26/JKT-SW</t>
  </si>
  <si>
    <t>105/IV/26/JKT-SW</t>
  </si>
  <si>
    <t>117/IV/26/JKT-SW</t>
  </si>
  <si>
    <t>TOTAL PENGIRIMAN</t>
  </si>
  <si>
    <t>SISA PO / KEBUTUHAN</t>
  </si>
  <si>
    <t>004/VI/26/JKT-KBL</t>
  </si>
  <si>
    <t>006/VI/26/JKT-KBL</t>
  </si>
  <si>
    <t>010/VI/26/JKT-KBL</t>
  </si>
  <si>
    <t>015/VI/26/JKT-KBL</t>
  </si>
  <si>
    <t>016/VI/26/JKT-KBL</t>
  </si>
  <si>
    <t>023/VI/26/JKT-KBL</t>
  </si>
  <si>
    <t>026/VI/26/JKT-KBL</t>
  </si>
  <si>
    <t>029/VI/26/JKT-KBL</t>
  </si>
  <si>
    <t>038/VI/26/JKT-KBL</t>
  </si>
  <si>
    <t>040/VI/26/JKT-KBL</t>
  </si>
  <si>
    <t>041/VI/26/JKT-KBL</t>
  </si>
  <si>
    <t>047/VI/26/JKT-KBL</t>
  </si>
  <si>
    <t>054/VI/26/JKT-KBL</t>
  </si>
  <si>
    <t>150/VI/26/JKT-KBL</t>
  </si>
  <si>
    <t>165/VI/26/JKT-KBL</t>
  </si>
  <si>
    <t>206/VI/26/JKT-KBL</t>
  </si>
  <si>
    <t>012/VII/26/JKT-KBL</t>
  </si>
  <si>
    <t>TOTAL PEMULANGAN</t>
  </si>
  <si>
    <t>SISA ALAT DI PROYEK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</si>
</sst>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d-mmm-yy"/>
    <numFmt numFmtId="166" formatCode="d-mmmm-yy"/>
    <numFmt numFmtId="167" formatCode="#,##0;(#,##0)"/>
    <numFmt numFmtId="168" formatCode="dd-mmm-yy"/>
  </numFmts>
  <fonts count="28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b/>
      <sz val="11.0"/>
      <color rgb="FFFF0000"/>
      <name val="Calibri"/>
    </font>
    <font>
      <b/>
      <sz val="11.0"/>
      <color theme="5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Arial Black&quot;"/>
    </font>
    <font>
      <b/>
      <sz val="11.0"/>
      <color theme="1"/>
      <name val="Calibri"/>
    </font>
    <font>
      <sz val="1.0"/>
      <color theme="1"/>
      <name val="Calibri"/>
    </font>
    <font>
      <b/>
      <sz val="1.0"/>
      <color theme="1"/>
      <name val="Calibri"/>
    </font>
    <font>
      <b/>
      <sz val="12.0"/>
      <color rgb="FF000000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sz val="11.0"/>
      <color rgb="FF000000"/>
      <name val="&quot;Calibri Light&quot;"/>
    </font>
    <font>
      <u/>
      <sz val="16.0"/>
      <color theme="1"/>
      <name val="&quot;Calibri Light&quot;"/>
    </font>
    <font>
      <sz val="18.0"/>
      <color theme="1"/>
      <name val="&quot;Calibri Light&quot;"/>
    </font>
    <font>
      <sz val="14.0"/>
      <color rgb="FF000000"/>
      <name val="&quot;Calibri Light&quot;"/>
    </font>
    <font>
      <sz val="12.0"/>
      <color rgb="FF000000"/>
      <name val="&quot;Calibri Light&quot;"/>
    </font>
    <font>
      <sz val="14.0"/>
      <color theme="1"/>
      <name val="&quot;Calibri Light&quot;"/>
    </font>
    <font>
      <sz val="14.0"/>
      <color theme="1"/>
      <name val="Arial"/>
    </font>
    <font>
      <b/>
      <sz val="14.0"/>
      <color theme="1"/>
      <name val="&quot;Calibri Light&quot;"/>
    </font>
    <font>
      <b/>
      <sz val="14.0"/>
      <color theme="1"/>
      <name val="Arial"/>
    </font>
    <font>
      <b/>
      <sz val="20.0"/>
      <color rgb="FF000000"/>
      <name val="Calibri"/>
    </font>
    <font>
      <sz val="11.0"/>
      <color rgb="FFFF0000"/>
      <name val="Calibri"/>
    </font>
    <font>
      <b/>
      <sz val="11.0"/>
      <color rgb="FF000000"/>
      <name val="Times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</fills>
  <borders count="27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5" fillId="0" fontId="2" numFmtId="0" xfId="0" applyBorder="1" applyFont="1"/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center" shrinkToFit="0" vertical="bottom" wrapText="0"/>
    </xf>
    <xf borderId="6" fillId="0" fontId="3" numFmtId="0" xfId="0" applyAlignment="1" applyBorder="1" applyFont="1">
      <alignment horizontal="center" readingOrder="0" shrinkToFit="0" vertical="bottom" wrapText="0"/>
    </xf>
    <xf borderId="7" fillId="0" fontId="1" numFmtId="0" xfId="0" applyAlignment="1" applyBorder="1" applyFont="1">
      <alignment horizontal="left" readingOrder="0" shrinkToFit="0" vertical="bottom" wrapText="0"/>
    </xf>
    <xf borderId="7" fillId="0" fontId="2" numFmtId="0" xfId="0" applyBorder="1" applyFont="1"/>
    <xf borderId="7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2" numFmtId="0" xfId="0" applyBorder="1" applyFont="1"/>
    <xf borderId="10" fillId="0" fontId="3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2" fillId="0" fontId="1" numFmtId="0" xfId="0" applyAlignment="1" applyBorder="1" applyFont="1">
      <alignment horizontal="center" readingOrder="0" shrinkToFit="0" vertical="bottom" wrapText="0"/>
    </xf>
    <xf borderId="13" fillId="0" fontId="1" numFmtId="0" xfId="0" applyAlignment="1" applyBorder="1" applyFont="1">
      <alignment horizontal="center" readingOrder="0" shrinkToFit="0" vertical="bottom" wrapText="0"/>
    </xf>
    <xf borderId="14" fillId="0" fontId="1" numFmtId="0" xfId="0" applyAlignment="1" applyBorder="1" applyFont="1">
      <alignment horizontal="center" readingOrder="0" shrinkToFit="0" vertical="bottom" wrapText="0"/>
    </xf>
    <xf borderId="15" fillId="0" fontId="3" numFmtId="164" xfId="0" applyAlignment="1" applyBorder="1" applyFont="1" applyNumberFormat="1">
      <alignment horizontal="center" readingOrder="0" shrinkToFit="0" vertical="bottom" wrapText="0"/>
    </xf>
    <xf borderId="16" fillId="0" fontId="3" numFmtId="0" xfId="0" applyAlignment="1" applyBorder="1" applyFont="1">
      <alignment horizontal="center" readingOrder="0" shrinkToFit="0" vertical="bottom" wrapText="0"/>
    </xf>
    <xf borderId="17" fillId="0" fontId="3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18" fillId="2" fontId="1" numFmtId="0" xfId="0" applyAlignment="1" applyBorder="1" applyFill="1" applyFont="1">
      <alignment horizontal="center" readingOrder="0" shrinkToFit="0" vertical="bottom" wrapText="0"/>
    </xf>
    <xf borderId="19" fillId="0" fontId="2" numFmtId="0" xfId="0" applyBorder="1" applyFont="1"/>
    <xf borderId="20" fillId="0" fontId="2" numFmtId="0" xfId="0" applyBorder="1" applyFont="1"/>
    <xf borderId="21" fillId="0" fontId="3" numFmtId="0" xfId="0" applyAlignment="1" applyBorder="1" applyFont="1">
      <alignment horizontal="center" shrinkToFit="0" vertical="bottom" wrapText="0"/>
    </xf>
    <xf borderId="22" fillId="0" fontId="6" numFmtId="0" xfId="0" applyBorder="1" applyFont="1"/>
    <xf borderId="21" fillId="0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vertical="bottom"/>
    </xf>
    <xf borderId="15" fillId="0" fontId="3" numFmtId="0" xfId="0" applyAlignment="1" applyBorder="1" applyFont="1">
      <alignment horizontal="center" shrinkToFit="0" vertical="bottom" wrapText="0"/>
    </xf>
    <xf borderId="16" fillId="0" fontId="3" numFmtId="0" xfId="0" applyAlignment="1" applyBorder="1" applyFont="1">
      <alignment shrinkToFit="0" vertical="bottom" wrapText="0"/>
    </xf>
    <xf borderId="16" fillId="0" fontId="6" numFmtId="0" xfId="0" applyBorder="1" applyFont="1"/>
    <xf borderId="17" fillId="0" fontId="6" numFmtId="0" xfId="0" applyBorder="1" applyFont="1"/>
    <xf borderId="0" fillId="0" fontId="3" numFmtId="0" xfId="0" applyAlignment="1" applyFont="1">
      <alignment horizontal="left" shrinkToFit="0" wrapText="0"/>
    </xf>
    <xf borderId="0" fillId="0" fontId="3" numFmtId="0" xfId="0" applyAlignment="1" applyFont="1">
      <alignment horizontal="center" shrinkToFit="0" wrapText="0"/>
    </xf>
    <xf borderId="0" fillId="2" fontId="1" numFmtId="0" xfId="0" applyAlignment="1" applyFill="1" applyFont="1">
      <alignment horizontal="left" readingOrder="0" shrinkToFit="0" wrapText="0"/>
    </xf>
    <xf borderId="0" fillId="2" fontId="3" numFmtId="0" xfId="0" applyAlignment="1" applyFill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23" fillId="0" fontId="1" numFmtId="0" xfId="0" applyAlignment="1" applyBorder="1" applyFont="1">
      <alignment horizontal="center" readingOrder="0" shrinkToFit="0" wrapText="0"/>
    </xf>
    <xf borderId="23" fillId="0" fontId="7" numFmtId="0" xfId="0" applyAlignment="1" applyBorder="1" applyFont="1">
      <alignment readingOrder="0"/>
    </xf>
    <xf borderId="23" fillId="0" fontId="1" numFmtId="0" xfId="0" applyAlignment="1" applyBorder="1" applyFont="1">
      <alignment readingOrder="0" shrinkToFit="0" vertical="bottom" wrapText="0"/>
    </xf>
    <xf borderId="23" fillId="0" fontId="3" numFmtId="0" xfId="0" applyAlignment="1" applyBorder="1" applyFont="1">
      <alignment horizontal="center" readingOrder="0" shrinkToFit="0" wrapText="0"/>
    </xf>
    <xf borderId="23" fillId="0" fontId="3" numFmtId="0" xfId="0" applyAlignment="1" applyBorder="1" applyFont="1">
      <alignment readingOrder="0" shrinkToFit="0" vertical="bottom" wrapText="0"/>
    </xf>
    <xf borderId="23" fillId="0" fontId="3" numFmtId="3" xfId="0" applyAlignment="1" applyBorder="1" applyFont="1" applyNumberFormat="1">
      <alignment shrinkToFit="0" vertical="bottom" wrapText="0"/>
    </xf>
    <xf borderId="23" fillId="0" fontId="6" numFmtId="3" xfId="0" applyAlignment="1" applyBorder="1" applyFont="1" applyNumberFormat="1">
      <alignment readingOrder="0"/>
    </xf>
    <xf borderId="23" fillId="0" fontId="3" numFmtId="3" xfId="0" applyAlignment="1" applyBorder="1" applyFont="1" applyNumberFormat="1">
      <alignment readingOrder="0" shrinkToFit="0" vertical="bottom" wrapText="0"/>
    </xf>
    <xf borderId="23" fillId="0" fontId="6" numFmtId="3" xfId="0" applyBorder="1" applyFont="1" applyNumberFormat="1"/>
    <xf borderId="23" fillId="0" fontId="3" numFmtId="0" xfId="0" applyAlignment="1" applyBorder="1" applyFont="1">
      <alignment horizontal="center" shrinkToFit="0" wrapText="0"/>
    </xf>
    <xf borderId="23" fillId="0" fontId="3" numFmtId="0" xfId="0" applyAlignment="1" applyBorder="1" applyFont="1">
      <alignment shrinkToFit="0" vertical="bottom" wrapText="0"/>
    </xf>
    <xf borderId="0" fillId="0" fontId="8" numFmtId="0" xfId="0" applyAlignment="1" applyFont="1">
      <alignment horizontal="center" readingOrder="0" shrinkToFit="0" wrapText="0"/>
    </xf>
    <xf borderId="12" fillId="0" fontId="1" numFmtId="0" xfId="0" applyAlignment="1" applyBorder="1" applyFont="1">
      <alignment horizontal="left" readingOrder="0" shrinkToFit="0" wrapText="0"/>
    </xf>
    <xf borderId="13" fillId="0" fontId="2" numFmtId="0" xfId="0" applyBorder="1" applyFont="1"/>
    <xf borderId="13" fillId="0" fontId="3" numFmtId="0" xfId="0" applyAlignment="1" applyBorder="1" applyFont="1">
      <alignment horizontal="center" shrinkToFit="0" wrapText="0"/>
    </xf>
    <xf borderId="13" fillId="0" fontId="3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readingOrder="0" shrinkToFit="0" vertical="bottom" wrapText="0"/>
    </xf>
    <xf borderId="14" fillId="0" fontId="3" numFmtId="0" xfId="0" applyAlignment="1" applyBorder="1" applyFont="1">
      <alignment shrinkToFit="0" vertical="bottom" wrapText="0"/>
    </xf>
    <xf borderId="0" fillId="0" fontId="8" numFmtId="0" xfId="0" applyAlignment="1" applyFont="1">
      <alignment horizontal="center" shrinkToFit="0" wrapText="0"/>
    </xf>
    <xf borderId="21" fillId="0" fontId="3" numFmtId="0" xfId="0" applyAlignment="1" applyBorder="1" applyFont="1">
      <alignment readingOrder="0" shrinkToFit="0" wrapText="0"/>
    </xf>
    <xf borderId="22" fillId="0" fontId="3" numFmtId="0" xfId="0" applyAlignment="1" applyBorder="1" applyFont="1">
      <alignment shrinkToFit="0" vertical="bottom" wrapText="0"/>
    </xf>
    <xf borderId="16" fillId="0" fontId="3" numFmtId="0" xfId="0" applyAlignment="1" applyBorder="1" applyFont="1">
      <alignment horizontal="center" shrinkToFit="0" wrapText="0"/>
    </xf>
    <xf borderId="16" fillId="0" fontId="3" numFmtId="0" xfId="0" applyAlignment="1" applyBorder="1" applyFont="1">
      <alignment horizontal="center" readingOrder="0" shrinkToFit="0" wrapText="0"/>
    </xf>
    <xf borderId="21" fillId="0" fontId="1" numFmtId="0" xfId="0" applyAlignment="1" applyBorder="1" applyFont="1">
      <alignment horizontal="left" readingOrder="0" shrinkToFit="0" wrapText="0"/>
    </xf>
    <xf borderId="22" fillId="0" fontId="1" numFmtId="0" xfId="0" applyAlignment="1" applyBorder="1" applyFont="1">
      <alignment readingOrder="0" shrinkToFit="0" vertical="bottom" wrapText="0"/>
    </xf>
    <xf borderId="21" fillId="0" fontId="3" numFmtId="0" xfId="0" applyAlignment="1" applyBorder="1" applyFont="1">
      <alignment horizontal="center" shrinkToFit="0" wrapText="0"/>
    </xf>
    <xf borderId="21" fillId="0" fontId="3" numFmtId="0" xfId="0" applyAlignment="1" applyBorder="1" applyFont="1">
      <alignment horizontal="left" readingOrder="0" shrinkToFit="0" wrapText="0"/>
    </xf>
    <xf borderId="15" fillId="0" fontId="1" numFmtId="0" xfId="0" applyAlignment="1" applyBorder="1" applyFont="1">
      <alignment horizontal="left" readingOrder="0" shrinkToFit="0" wrapText="0"/>
    </xf>
    <xf borderId="16" fillId="0" fontId="2" numFmtId="0" xfId="0" applyBorder="1" applyFont="1"/>
    <xf borderId="16" fillId="0" fontId="3" numFmtId="0" xfId="0" applyAlignment="1" applyBorder="1" applyFont="1">
      <alignment readingOrder="0" shrinkToFit="0" vertical="bottom" wrapText="0"/>
    </xf>
    <xf borderId="17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shrinkToFit="0" wrapText="0"/>
    </xf>
    <xf borderId="0" fillId="0" fontId="7" numFmtId="0" xfId="0" applyAlignment="1" applyFont="1">
      <alignment readingOrder="0"/>
    </xf>
    <xf borderId="23" fillId="3" fontId="9" numFmtId="0" xfId="0" applyAlignment="1" applyBorder="1" applyFill="1" applyFont="1">
      <alignment horizontal="center" readingOrder="0" shrinkToFit="0" wrapText="0"/>
    </xf>
    <xf borderId="18" fillId="3" fontId="9" numFmtId="0" xfId="0" applyAlignment="1" applyBorder="1" applyFill="1" applyFont="1">
      <alignment horizontal="center" readingOrder="0" shrinkToFit="0" wrapText="0"/>
    </xf>
    <xf borderId="23" fillId="3" fontId="9" numFmtId="0" xfId="0" applyAlignment="1" applyBorder="1" applyFill="1" applyFont="1">
      <alignment horizontal="center" shrinkToFit="0" wrapText="0"/>
    </xf>
    <xf borderId="23" fillId="3" fontId="9" numFmtId="0" xfId="0" applyAlignment="1" applyBorder="1" applyFill="1" applyFont="1">
      <alignment horizontal="center" readingOrder="0" shrinkToFit="0" vertical="bottom" wrapText="0"/>
    </xf>
    <xf borderId="23" fillId="0" fontId="9" numFmtId="0" xfId="0" applyAlignment="1" applyBorder="1" applyFont="1">
      <alignment readingOrder="0" shrinkToFit="0" vertical="bottom" wrapText="0"/>
    </xf>
    <xf borderId="23" fillId="0" fontId="10" numFmtId="0" xfId="0" applyAlignment="1" applyBorder="1" applyFont="1">
      <alignment shrinkToFit="0" vertical="bottom" wrapText="0"/>
    </xf>
    <xf borderId="23" fillId="0" fontId="11" numFmtId="0" xfId="0" applyAlignment="1" applyBorder="1" applyFont="1">
      <alignment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3" numFmtId="0" xfId="0" applyAlignment="1" applyFont="1">
      <alignment shrinkToFit="0" wrapText="0"/>
    </xf>
    <xf borderId="0" fillId="4" fontId="3" numFmtId="0" xfId="0" applyAlignment="1" applyFill="1" applyFont="1">
      <alignment readingOrder="0" shrinkToFit="0" vertical="bottom" wrapText="0"/>
    </xf>
    <xf borderId="0" fillId="4" fontId="14" numFmtId="0" xfId="0" applyAlignment="1" applyFill="1" applyFont="1">
      <alignment shrinkToFit="0" wrapText="0"/>
    </xf>
    <xf borderId="0" fillId="4" fontId="3" numFmtId="0" xfId="0" applyAlignment="1" applyFill="1" applyFont="1">
      <alignment shrinkToFit="0" vertical="bottom" wrapText="0"/>
    </xf>
    <xf borderId="0" fillId="4" fontId="13" numFmtId="0" xfId="0" applyAlignment="1" applyFill="1" applyFont="1">
      <alignment readingOrder="0" shrinkToFit="0" wrapText="0"/>
    </xf>
    <xf borderId="0" fillId="4" fontId="13" numFmtId="0" xfId="0" applyAlignment="1" applyFill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21" fillId="0" fontId="1" numFmtId="0" xfId="0" applyAlignment="1" applyBorder="1" applyFont="1">
      <alignment readingOrder="0" shrinkToFit="0" vertical="bottom" wrapText="0"/>
    </xf>
    <xf borderId="21" fillId="0" fontId="3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22" fillId="0" fontId="1" numFmtId="0" xfId="0" applyAlignment="1" applyBorder="1" applyFont="1">
      <alignment horizontal="right" shrinkToFit="0" vertical="bottom" wrapText="0"/>
    </xf>
    <xf borderId="21" fillId="0" fontId="3" numFmtId="0" xfId="0" applyAlignment="1" applyBorder="1" applyFont="1">
      <alignment shrinkToFit="0" vertical="bottom" wrapText="0"/>
    </xf>
    <xf borderId="21" fillId="0" fontId="1" numFmtId="0" xfId="0" applyAlignment="1" applyBorder="1" applyFont="1">
      <alignment shrinkToFit="0" vertical="bottom" wrapText="0"/>
    </xf>
    <xf borderId="22" fillId="0" fontId="1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horizontal="right" shrinkToFit="0" vertical="bottom" wrapText="0"/>
    </xf>
    <xf borderId="17" fillId="0" fontId="3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wrapText="0"/>
    </xf>
    <xf borderId="0" fillId="4" fontId="17" numFmtId="0" xfId="0" applyAlignment="1" applyFill="1" applyFont="1">
      <alignment horizontal="center" readingOrder="0" shrinkToFit="0" wrapText="0"/>
    </xf>
    <xf borderId="0" fillId="4" fontId="18" numFmtId="0" xfId="0" applyAlignment="1" applyFill="1" applyFont="1">
      <alignment horizontal="center" shrinkToFit="0" wrapText="0"/>
    </xf>
    <xf borderId="0" fillId="4" fontId="19" numFmtId="0" xfId="0" applyAlignment="1" applyFill="1" applyFont="1">
      <alignment readingOrder="0" shrinkToFit="0" wrapText="0"/>
    </xf>
    <xf borderId="0" fillId="4" fontId="19" numFmtId="0" xfId="0" applyAlignment="1" applyFill="1" applyFont="1">
      <alignment shrinkToFit="0" wrapText="0"/>
    </xf>
    <xf borderId="0" fillId="4" fontId="20" numFmtId="0" xfId="0" applyAlignment="1" applyFill="1" applyFont="1">
      <alignment shrinkToFit="0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wrapText="0"/>
    </xf>
    <xf borderId="0" fillId="4" fontId="20" numFmtId="0" xfId="0" applyAlignment="1" applyFill="1" applyFont="1">
      <alignment shrinkToFit="0" wrapText="0"/>
    </xf>
    <xf borderId="24" fillId="4" fontId="21" numFmtId="0" xfId="0" applyAlignment="1" applyBorder="1" applyFill="1" applyFont="1">
      <alignment horizontal="center" readingOrder="0"/>
    </xf>
    <xf borderId="18" fillId="4" fontId="21" numFmtId="0" xfId="0" applyAlignment="1" applyBorder="1" applyFill="1" applyFont="1">
      <alignment horizontal="center" readingOrder="0"/>
    </xf>
    <xf borderId="25" fillId="0" fontId="2" numFmtId="0" xfId="0" applyBorder="1" applyFont="1"/>
    <xf borderId="25" fillId="4" fontId="21" numFmtId="0" xfId="0" applyAlignment="1" applyBorder="1" applyFill="1" applyFont="1">
      <alignment horizontal="center" readingOrder="0"/>
    </xf>
    <xf borderId="22" fillId="4" fontId="21" numFmtId="0" xfId="0" applyAlignment="1" applyBorder="1" applyFill="1" applyFont="1">
      <alignment horizontal="center" readingOrder="0"/>
    </xf>
    <xf borderId="26" fillId="0" fontId="2" numFmtId="0" xfId="0" applyBorder="1" applyFont="1"/>
    <xf borderId="18" fillId="4" fontId="21" numFmtId="0" xfId="0" applyAlignment="1" applyBorder="1" applyFill="1" applyFont="1">
      <alignment readingOrder="0" shrinkToFit="0" wrapText="0"/>
    </xf>
    <xf borderId="19" fillId="4" fontId="21" numFmtId="0" xfId="0" applyAlignment="1" applyBorder="1" applyFill="1" applyFont="1">
      <alignment shrinkToFit="0" wrapText="0"/>
    </xf>
    <xf borderId="20" fillId="4" fontId="21" numFmtId="0" xfId="0" applyAlignment="1" applyBorder="1" applyFill="1" applyFont="1">
      <alignment shrinkToFit="0" wrapText="0"/>
    </xf>
    <xf borderId="0" fillId="0" fontId="19" numFmtId="0" xfId="0" applyAlignment="1" applyFont="1">
      <alignment shrinkToFit="0" vertical="bottom" wrapText="0"/>
    </xf>
    <xf borderId="25" fillId="4" fontId="21" numFmtId="0" xfId="0" applyAlignment="1" applyBorder="1" applyFill="1" applyFont="1">
      <alignment readingOrder="0"/>
    </xf>
    <xf borderId="23" fillId="4" fontId="21" numFmtId="165" xfId="0" applyAlignment="1" applyBorder="1" applyFill="1" applyFont="1" applyNumberFormat="1">
      <alignment horizontal="center" readingOrder="0" shrinkToFit="0" wrapText="0"/>
    </xf>
    <xf borderId="23" fillId="4" fontId="21" numFmtId="166" xfId="0" applyAlignment="1" applyBorder="1" applyFill="1" applyFont="1" applyNumberFormat="1">
      <alignment horizontal="center" readingOrder="0" shrinkToFit="0" wrapText="0"/>
    </xf>
    <xf borderId="23" fillId="4" fontId="21" numFmtId="0" xfId="0" applyAlignment="1" applyBorder="1" applyFill="1" applyFont="1">
      <alignment horizontal="center" readingOrder="0" shrinkToFit="0" wrapText="0"/>
    </xf>
    <xf borderId="23" fillId="4" fontId="22" numFmtId="3" xfId="0" applyAlignment="1" applyBorder="1" applyFill="1" applyFont="1" applyNumberFormat="1">
      <alignment horizontal="center" readingOrder="0" shrinkToFit="0" wrapText="0"/>
    </xf>
    <xf borderId="23" fillId="4" fontId="21" numFmtId="3" xfId="0" applyAlignment="1" applyBorder="1" applyFill="1" applyFont="1" applyNumberFormat="1">
      <alignment horizontal="center" readingOrder="0" shrinkToFit="0" wrapText="0"/>
    </xf>
    <xf borderId="25" fillId="4" fontId="21" numFmtId="0" xfId="0" applyBorder="1" applyFill="1" applyFont="1"/>
    <xf borderId="23" fillId="4" fontId="22" numFmtId="0" xfId="0" applyAlignment="1" applyBorder="1" applyFill="1" applyFont="1">
      <alignment horizontal="center" readingOrder="0" shrinkToFit="0" wrapText="0"/>
    </xf>
    <xf borderId="25" fillId="4" fontId="21" numFmtId="0" xfId="0" applyBorder="1" applyFill="1" applyFont="1"/>
    <xf borderId="24" fillId="4" fontId="21" numFmtId="0" xfId="0" applyBorder="1" applyFill="1" applyFont="1"/>
    <xf borderId="23" fillId="4" fontId="21" numFmtId="167" xfId="0" applyAlignment="1" applyBorder="1" applyFill="1" applyFont="1" applyNumberFormat="1">
      <alignment horizontal="center" readingOrder="0" shrinkToFit="0" wrapText="0"/>
    </xf>
    <xf borderId="0" fillId="0" fontId="19" numFmtId="0" xfId="0" applyAlignment="1" applyFont="1">
      <alignment shrinkToFit="0" vertical="bottom" wrapText="0"/>
    </xf>
    <xf borderId="23" fillId="4" fontId="22" numFmtId="167" xfId="0" applyAlignment="1" applyBorder="1" applyFill="1" applyFont="1" applyNumberFormat="1">
      <alignment horizontal="center" readingOrder="0" shrinkToFit="0" wrapText="0"/>
    </xf>
    <xf borderId="24" fillId="4" fontId="21" numFmtId="0" xfId="0" applyAlignment="1" applyBorder="1" applyFill="1" applyFont="1">
      <alignment readingOrder="0"/>
    </xf>
    <xf borderId="26" fillId="4" fontId="21" numFmtId="0" xfId="0" applyBorder="1" applyFill="1" applyFont="1"/>
    <xf borderId="24" fillId="4" fontId="21" numFmtId="0" xfId="0" applyAlignment="1" applyBorder="1" applyFill="1" applyFont="1">
      <alignment horizontal="center"/>
    </xf>
    <xf borderId="0" fillId="0" fontId="19" numFmtId="0" xfId="0" applyAlignment="1" applyFont="1">
      <alignment shrinkToFit="0" wrapText="0"/>
    </xf>
    <xf borderId="18" fillId="2" fontId="23" numFmtId="0" xfId="0" applyAlignment="1" applyBorder="1" applyFill="1" applyFont="1">
      <alignment shrinkToFit="0" wrapText="0"/>
    </xf>
    <xf borderId="19" fillId="2" fontId="23" numFmtId="0" xfId="0" applyAlignment="1" applyBorder="1" applyFill="1" applyFont="1">
      <alignment horizontal="center" shrinkToFit="0" wrapText="0"/>
    </xf>
    <xf borderId="19" fillId="2" fontId="23" numFmtId="0" xfId="0" applyAlignment="1" applyBorder="1" applyFill="1" applyFont="1">
      <alignment horizontal="right" readingOrder="0" shrinkToFit="0" wrapText="0"/>
    </xf>
    <xf borderId="23" fillId="2" fontId="23" numFmtId="3" xfId="0" applyAlignment="1" applyBorder="1" applyFill="1" applyFont="1" applyNumberFormat="1">
      <alignment horizontal="center" readingOrder="0" shrinkToFit="0" wrapText="0"/>
    </xf>
    <xf borderId="0" fillId="0" fontId="16" numFmtId="0" xfId="0" applyAlignment="1" applyFont="1">
      <alignment shrinkToFit="0" vertical="bottom" wrapText="0"/>
    </xf>
    <xf borderId="19" fillId="2" fontId="24" numFmtId="0" xfId="0" applyAlignment="1" applyBorder="1" applyFill="1" applyFont="1">
      <alignment horizontal="right" readingOrder="0" shrinkToFit="0" wrapText="0"/>
    </xf>
    <xf borderId="23" fillId="2" fontId="23" numFmtId="167" xfId="0" applyAlignment="1" applyBorder="1" applyFill="1" applyFont="1" applyNumberFormat="1">
      <alignment horizontal="center" readingOrder="0" shrinkToFit="0" wrapText="0"/>
    </xf>
    <xf borderId="0" fillId="0" fontId="16" numFmtId="0" xfId="0" applyAlignment="1" applyFont="1">
      <alignment horizontal="center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horizontal="left" readingOrder="0" shrinkToFit="0" vertical="bottom" wrapText="0"/>
    </xf>
    <xf borderId="23" fillId="4" fontId="12" numFmtId="0" xfId="0" applyAlignment="1" applyBorder="1" applyFill="1" applyFont="1">
      <alignment shrinkToFit="0" wrapText="0"/>
    </xf>
    <xf borderId="23" fillId="4" fontId="12" numFmtId="0" xfId="0" applyAlignment="1" applyBorder="1" applyFill="1" applyFont="1">
      <alignment horizontal="center" readingOrder="0"/>
    </xf>
    <xf borderId="0" fillId="4" fontId="3" numFmtId="0" xfId="0" applyAlignment="1" applyFill="1" applyFont="1">
      <alignment shrinkToFit="0" wrapText="0"/>
    </xf>
    <xf borderId="0" fillId="4" fontId="1" numFmtId="0" xfId="0" applyAlignment="1" applyFill="1" applyFont="1">
      <alignment shrinkToFit="0" vertical="bottom" wrapText="0"/>
    </xf>
    <xf borderId="23" fillId="4" fontId="12" numFmtId="0" xfId="0" applyAlignment="1" applyBorder="1" applyFill="1" applyFont="1">
      <alignment shrinkToFit="0" vertical="bottom" wrapText="0"/>
    </xf>
    <xf borderId="23" fillId="4" fontId="12" numFmtId="0" xfId="0" applyAlignment="1" applyBorder="1" applyFill="1" applyFont="1">
      <alignment horizontal="center"/>
    </xf>
    <xf borderId="23" fillId="4" fontId="12" numFmtId="10" xfId="0" applyAlignment="1" applyBorder="1" applyFill="1" applyFont="1" applyNumberFormat="1">
      <alignment horizontal="center" vertical="bottom"/>
    </xf>
    <xf borderId="0" fillId="4" fontId="25" numFmtId="0" xfId="0" applyAlignment="1" applyFill="1" applyFont="1">
      <alignment shrinkToFit="0" vertical="bottom" wrapText="0"/>
    </xf>
    <xf borderId="23" fillId="4" fontId="3" numFmtId="168" xfId="0" applyAlignment="1" applyBorder="1" applyFill="1" applyFont="1" applyNumberFormat="1">
      <alignment horizontal="left" readingOrder="0" shrinkToFit="0" wrapText="0"/>
    </xf>
    <xf borderId="23" fillId="4" fontId="3" numFmtId="0" xfId="0" applyAlignment="1" applyBorder="1" applyFill="1" applyFont="1">
      <alignment readingOrder="0" shrinkToFit="0" vertical="bottom" wrapText="0"/>
    </xf>
    <xf borderId="23" fillId="4" fontId="3" numFmtId="0" xfId="0" applyAlignment="1" applyBorder="1" applyFill="1" applyFont="1">
      <alignment horizontal="center" readingOrder="0" shrinkToFit="0" vertical="bottom" wrapText="0"/>
    </xf>
    <xf borderId="23" fillId="4" fontId="3" numFmtId="0" xfId="0" applyAlignment="1" applyBorder="1" applyFill="1" applyFont="1">
      <alignment horizontal="center" shrinkToFit="0" vertical="bottom" wrapText="0"/>
    </xf>
    <xf borderId="0" fillId="4" fontId="26" numFmtId="0" xfId="0" applyAlignment="1" applyFill="1" applyFont="1">
      <alignment shrinkToFit="0" vertical="bottom" wrapText="0"/>
    </xf>
    <xf borderId="23" fillId="4" fontId="3" numFmtId="0" xfId="0" applyAlignment="1" applyBorder="1" applyFill="1" applyFont="1">
      <alignment horizontal="center" shrinkToFit="0" vertical="bottom" wrapText="0"/>
    </xf>
    <xf borderId="0" fillId="4" fontId="3" numFmtId="0" xfId="0" applyAlignment="1" applyFill="1" applyFont="1">
      <alignment shrinkToFit="0" vertical="bottom" wrapText="0"/>
    </xf>
    <xf borderId="23" fillId="4" fontId="3" numFmtId="165" xfId="0" applyAlignment="1" applyBorder="1" applyFill="1" applyFont="1" applyNumberFormat="1">
      <alignment horizontal="left" readingOrder="0" shrinkToFit="0" wrapText="0"/>
    </xf>
    <xf borderId="18" fillId="5" fontId="1" numFmtId="0" xfId="0" applyAlignment="1" applyBorder="1" applyFill="1" applyFont="1">
      <alignment horizontal="left" readingOrder="0" shrinkToFit="0" vertical="bottom" wrapText="0"/>
    </xf>
    <xf borderId="23" fillId="5" fontId="1" numFmtId="0" xfId="0" applyAlignment="1" applyBorder="1" applyFill="1" applyFont="1">
      <alignment horizontal="center" readingOrder="0" shrinkToFit="0" vertical="bottom" wrapText="0"/>
    </xf>
    <xf borderId="15" fillId="4" fontId="1" numFmtId="0" xfId="0" applyAlignment="1" applyBorder="1" applyFill="1" applyFont="1">
      <alignment horizontal="left" readingOrder="0" shrinkToFit="0" vertical="bottom" wrapText="0"/>
    </xf>
    <xf borderId="17" fillId="4" fontId="1" numFmtId="0" xfId="0" applyAlignment="1" applyBorder="1" applyFill="1" applyFont="1">
      <alignment horizontal="left" shrinkToFit="0" vertical="bottom" wrapText="0"/>
    </xf>
    <xf borderId="23" fillId="4" fontId="1" numFmtId="0" xfId="0" applyAlignment="1" applyBorder="1" applyFill="1" applyFont="1">
      <alignment horizontal="center" shrinkToFit="0" vertical="bottom" wrapText="0"/>
    </xf>
    <xf borderId="23" fillId="4" fontId="1" numFmtId="0" xfId="0" applyAlignment="1" applyBorder="1" applyFill="1" applyFont="1">
      <alignment horizontal="center" shrinkToFit="0" vertical="bottom" wrapText="0"/>
    </xf>
    <xf borderId="15" fillId="4" fontId="1" numFmtId="165" xfId="0" applyAlignment="1" applyBorder="1" applyFill="1" applyFont="1" applyNumberFormat="1">
      <alignment horizontal="left" shrinkToFit="0" vertical="bottom" wrapText="0"/>
    </xf>
    <xf borderId="18" fillId="6" fontId="1" numFmtId="0" xfId="0" applyAlignment="1" applyBorder="1" applyFill="1" applyFont="1">
      <alignment horizontal="left" readingOrder="0" shrinkToFit="0" vertical="bottom" wrapText="0"/>
    </xf>
    <xf borderId="23" fillId="6" fontId="1" numFmtId="0" xfId="0" applyAlignment="1" applyBorder="1" applyFill="1" applyFont="1">
      <alignment horizontal="center" readingOrder="0" shrinkToFit="0" vertical="bottom" wrapText="0"/>
    </xf>
    <xf borderId="0" fillId="4" fontId="4" numFmtId="0" xfId="0" applyAlignment="1" applyFill="1" applyFont="1">
      <alignment shrinkToFit="0" vertical="bottom" wrapText="0"/>
    </xf>
    <xf borderId="18" fillId="4" fontId="4" numFmtId="0" xfId="0" applyAlignment="1" applyBorder="1" applyFill="1" applyFont="1">
      <alignment horizontal="left" readingOrder="0" shrinkToFit="0" vertical="bottom" wrapText="0"/>
    </xf>
    <xf borderId="23" fillId="4" fontId="4" numFmtId="0" xfId="0" applyAlignment="1" applyBorder="1" applyFill="1" applyFont="1">
      <alignment horizontal="center" readingOrder="0" shrinkToFit="0" vertical="bottom" wrapText="0"/>
    </xf>
    <xf borderId="0" fillId="4" fontId="3" numFmtId="165" xfId="0" applyAlignment="1" applyFill="1" applyFont="1" applyNumberForma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4" fontId="27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65.63"/>
  </cols>
  <sheetData>
    <row r="7">
      <c r="E7" s="1" t="s">
        <v>0</v>
      </c>
      <c r="F7" s="2"/>
      <c r="G7" s="2"/>
      <c r="H7" s="2"/>
      <c r="I7" s="2"/>
      <c r="J7" s="2"/>
      <c r="K7" s="2"/>
      <c r="L7" s="2"/>
      <c r="M7" s="2"/>
      <c r="N7" s="2"/>
      <c r="O7" s="3"/>
    </row>
    <row r="8">
      <c r="E8" s="4"/>
      <c r="F8" s="5"/>
      <c r="G8" s="5"/>
      <c r="H8" s="6"/>
      <c r="I8" s="6"/>
      <c r="J8" s="6"/>
      <c r="K8" s="6"/>
      <c r="L8" s="6"/>
      <c r="M8" s="6"/>
      <c r="N8" s="6"/>
      <c r="O8" s="7"/>
    </row>
    <row r="9">
      <c r="E9" s="8">
        <v>1.0</v>
      </c>
      <c r="F9" s="9" t="s">
        <v>1</v>
      </c>
      <c r="I9" s="10"/>
      <c r="J9" s="6"/>
      <c r="K9" s="6"/>
      <c r="L9" s="6"/>
      <c r="M9" s="6"/>
      <c r="N9" s="6"/>
      <c r="O9" s="7"/>
    </row>
    <row r="10">
      <c r="E10" s="8">
        <v>2.0</v>
      </c>
      <c r="F10" s="9" t="s">
        <v>2</v>
      </c>
      <c r="O10" s="11"/>
    </row>
    <row r="11">
      <c r="E11" s="8">
        <v>2.0</v>
      </c>
      <c r="F11" s="9" t="s">
        <v>3</v>
      </c>
      <c r="H11" s="10"/>
      <c r="I11" s="10"/>
      <c r="J11" s="6"/>
      <c r="K11" s="6"/>
      <c r="L11" s="6"/>
      <c r="M11" s="6"/>
      <c r="N11" s="6"/>
      <c r="O11" s="7"/>
    </row>
    <row r="12">
      <c r="E12" s="4"/>
      <c r="F12" s="12" t="s">
        <v>4</v>
      </c>
      <c r="G12" s="13" t="s">
        <v>5</v>
      </c>
      <c r="K12" s="6"/>
      <c r="L12" s="6"/>
      <c r="M12" s="6"/>
      <c r="N12" s="6"/>
      <c r="O12" s="7"/>
    </row>
    <row r="13">
      <c r="E13" s="4"/>
      <c r="F13" s="12" t="s">
        <v>6</v>
      </c>
      <c r="G13" s="13" t="s">
        <v>7</v>
      </c>
      <c r="J13" s="6"/>
      <c r="K13" s="6"/>
      <c r="L13" s="6"/>
      <c r="M13" s="6"/>
      <c r="N13" s="6"/>
      <c r="O13" s="7"/>
    </row>
    <row r="14">
      <c r="E14" s="4"/>
      <c r="F14" s="12" t="s">
        <v>8</v>
      </c>
      <c r="G14" s="13" t="s">
        <v>9</v>
      </c>
      <c r="J14" s="6"/>
      <c r="K14" s="6"/>
      <c r="L14" s="6"/>
      <c r="M14" s="6"/>
      <c r="N14" s="6"/>
      <c r="O14" s="7"/>
    </row>
    <row r="15">
      <c r="E15" s="8">
        <v>3.0</v>
      </c>
      <c r="F15" s="14" t="s">
        <v>10</v>
      </c>
      <c r="L15" s="6"/>
      <c r="M15" s="6"/>
      <c r="N15" s="6"/>
      <c r="O15" s="7"/>
    </row>
    <row r="16">
      <c r="E16" s="15">
        <v>4.0</v>
      </c>
      <c r="F16" s="9" t="s">
        <v>11</v>
      </c>
      <c r="I16" s="6"/>
      <c r="J16" s="6"/>
      <c r="K16" s="6"/>
      <c r="L16" s="6"/>
      <c r="M16" s="6"/>
      <c r="N16" s="6"/>
      <c r="O16" s="7"/>
    </row>
    <row r="17">
      <c r="E17" s="4"/>
      <c r="F17" s="12" t="s">
        <v>4</v>
      </c>
      <c r="G17" s="13" t="s">
        <v>12</v>
      </c>
      <c r="J17" s="6"/>
      <c r="K17" s="6"/>
      <c r="L17" s="6"/>
      <c r="M17" s="6"/>
      <c r="N17" s="6"/>
      <c r="O17" s="7"/>
    </row>
    <row r="18">
      <c r="E18" s="4"/>
      <c r="F18" s="12" t="s">
        <v>6</v>
      </c>
      <c r="G18" s="13" t="s">
        <v>13</v>
      </c>
      <c r="O18" s="7"/>
    </row>
    <row r="19">
      <c r="E19" s="4"/>
      <c r="F19" s="12" t="s">
        <v>8</v>
      </c>
      <c r="G19" s="13" t="s">
        <v>14</v>
      </c>
      <c r="M19" s="6"/>
      <c r="N19" s="6"/>
      <c r="O19" s="7"/>
    </row>
    <row r="20">
      <c r="E20" s="4"/>
      <c r="F20" s="12" t="s">
        <v>15</v>
      </c>
      <c r="G20" s="13" t="s">
        <v>16</v>
      </c>
      <c r="M20" s="6"/>
      <c r="N20" s="6"/>
      <c r="O20" s="7"/>
    </row>
    <row r="21">
      <c r="E21" s="4"/>
      <c r="F21" s="12" t="s">
        <v>17</v>
      </c>
      <c r="G21" s="13" t="s">
        <v>18</v>
      </c>
      <c r="M21" s="6"/>
      <c r="N21" s="6"/>
      <c r="O21" s="7"/>
    </row>
    <row r="22">
      <c r="E22" s="4"/>
      <c r="F22" s="16"/>
      <c r="G22" s="6"/>
      <c r="H22" s="6"/>
      <c r="I22" s="6"/>
      <c r="J22" s="6"/>
      <c r="K22" s="6"/>
      <c r="L22" s="6"/>
      <c r="M22" s="6"/>
      <c r="N22" s="6"/>
      <c r="O22" s="7"/>
    </row>
    <row r="23">
      <c r="E23" s="8">
        <v>5.0</v>
      </c>
      <c r="F23" s="9" t="s">
        <v>19</v>
      </c>
      <c r="J23" s="6"/>
      <c r="K23" s="6"/>
      <c r="L23" s="6"/>
      <c r="M23" s="6"/>
      <c r="N23" s="6"/>
      <c r="O23" s="7"/>
    </row>
    <row r="24">
      <c r="E24" s="4"/>
      <c r="F24" s="12" t="s">
        <v>4</v>
      </c>
      <c r="G24" s="13" t="s">
        <v>20</v>
      </c>
      <c r="I24" s="6"/>
      <c r="J24" s="6"/>
      <c r="K24" s="6"/>
      <c r="L24" s="6"/>
      <c r="M24" s="6"/>
      <c r="N24" s="6"/>
      <c r="O24" s="7"/>
    </row>
    <row r="25">
      <c r="E25" s="4"/>
      <c r="F25" s="12" t="s">
        <v>6</v>
      </c>
      <c r="G25" s="13" t="s">
        <v>21</v>
      </c>
      <c r="K25" s="6"/>
      <c r="L25" s="6"/>
      <c r="M25" s="6"/>
      <c r="N25" s="6"/>
      <c r="O25" s="7"/>
    </row>
    <row r="26">
      <c r="E26" s="4"/>
      <c r="F26" s="12" t="s">
        <v>8</v>
      </c>
      <c r="G26" s="13" t="s">
        <v>22</v>
      </c>
      <c r="J26" s="6"/>
      <c r="K26" s="6"/>
      <c r="L26" s="6"/>
      <c r="M26" s="6"/>
      <c r="N26" s="6"/>
      <c r="O26" s="7"/>
    </row>
    <row r="27">
      <c r="E27" s="4"/>
      <c r="F27" s="12" t="s">
        <v>15</v>
      </c>
      <c r="G27" s="13" t="s">
        <v>23</v>
      </c>
      <c r="K27" s="6"/>
      <c r="L27" s="6"/>
      <c r="M27" s="6"/>
      <c r="N27" s="6"/>
      <c r="O27" s="7"/>
    </row>
    <row r="28">
      <c r="E28" s="4"/>
      <c r="F28" s="17"/>
      <c r="G28" s="6"/>
      <c r="H28" s="6"/>
      <c r="I28" s="6"/>
      <c r="J28" s="6"/>
      <c r="K28" s="6"/>
      <c r="L28" s="6"/>
      <c r="M28" s="6"/>
      <c r="N28" s="6"/>
      <c r="O28" s="7"/>
    </row>
    <row r="29">
      <c r="E29" s="18">
        <v>6.0</v>
      </c>
      <c r="F29" s="19" t="s">
        <v>24</v>
      </c>
      <c r="G29" s="20"/>
      <c r="H29" s="20"/>
      <c r="I29" s="20"/>
      <c r="J29" s="20"/>
      <c r="K29" s="20"/>
      <c r="L29" s="21"/>
      <c r="M29" s="21"/>
      <c r="N29" s="21"/>
      <c r="O29" s="22"/>
    </row>
    <row r="30"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>
      <c r="E34" s="1" t="s">
        <v>25</v>
      </c>
      <c r="F34" s="2"/>
      <c r="G34" s="2"/>
      <c r="H34" s="2"/>
      <c r="I34" s="2"/>
      <c r="J34" s="2"/>
      <c r="K34" s="2"/>
      <c r="L34" s="2"/>
      <c r="M34" s="2"/>
      <c r="N34" s="2"/>
      <c r="O34" s="3"/>
    </row>
    <row r="35">
      <c r="E35" s="23">
        <v>1.0</v>
      </c>
      <c r="F35" s="24" t="s">
        <v>26</v>
      </c>
      <c r="G35" s="25"/>
      <c r="H35" s="25"/>
      <c r="I35" s="26"/>
      <c r="J35" s="26"/>
      <c r="K35" s="26"/>
      <c r="L35" s="26"/>
      <c r="M35" s="26"/>
      <c r="N35" s="26"/>
      <c r="O35" s="27"/>
    </row>
    <row r="36">
      <c r="E36" s="28"/>
      <c r="F36" s="12" t="s">
        <v>4</v>
      </c>
      <c r="G36" s="14" t="s">
        <v>27</v>
      </c>
      <c r="O36" s="7"/>
    </row>
    <row r="37">
      <c r="E37" s="28"/>
      <c r="F37" s="12" t="s">
        <v>6</v>
      </c>
      <c r="G37" s="14" t="s">
        <v>28</v>
      </c>
      <c r="I37" s="6"/>
      <c r="J37" s="6"/>
      <c r="K37" s="6"/>
      <c r="L37" s="6"/>
      <c r="M37" s="6"/>
      <c r="N37" s="6"/>
      <c r="O37" s="7"/>
    </row>
    <row r="38">
      <c r="E38" s="28"/>
      <c r="F38" s="29" t="s">
        <v>29</v>
      </c>
      <c r="G38" s="13" t="s">
        <v>30</v>
      </c>
      <c r="L38" s="6"/>
      <c r="M38" s="6"/>
      <c r="N38" s="6"/>
      <c r="O38" s="7"/>
    </row>
    <row r="39">
      <c r="E39" s="30"/>
      <c r="F39" s="29" t="s">
        <v>29</v>
      </c>
      <c r="G39" s="13" t="s">
        <v>31</v>
      </c>
      <c r="L39" s="6"/>
      <c r="M39" s="6"/>
      <c r="N39" s="6"/>
      <c r="O39" s="7"/>
    </row>
    <row r="40">
      <c r="E40" s="30"/>
      <c r="F40" s="31" t="s">
        <v>32</v>
      </c>
      <c r="O40" s="11"/>
    </row>
    <row r="41">
      <c r="E41" s="30"/>
      <c r="F41" s="32"/>
      <c r="G41" s="6"/>
      <c r="H41" s="6"/>
      <c r="I41" s="6"/>
      <c r="J41" s="6"/>
      <c r="K41" s="6"/>
      <c r="L41" s="6"/>
      <c r="M41" s="6"/>
      <c r="N41" s="6"/>
      <c r="O41" s="7"/>
    </row>
    <row r="42">
      <c r="E42" s="30"/>
      <c r="F42" s="6"/>
      <c r="G42" s="6"/>
      <c r="H42" s="6"/>
      <c r="I42" s="6"/>
      <c r="J42" s="6"/>
      <c r="K42" s="6"/>
      <c r="L42" s="33" t="s">
        <v>33</v>
      </c>
      <c r="M42" s="34" t="s">
        <v>34</v>
      </c>
      <c r="N42" s="35" t="s">
        <v>35</v>
      </c>
      <c r="O42" s="7"/>
    </row>
    <row r="43">
      <c r="E43" s="30"/>
      <c r="F43" s="12" t="s">
        <v>8</v>
      </c>
      <c r="G43" s="14" t="s">
        <v>36</v>
      </c>
      <c r="L43" s="36">
        <v>46032.0</v>
      </c>
      <c r="M43" s="37" t="s">
        <v>37</v>
      </c>
      <c r="N43" s="38">
        <v>30.0</v>
      </c>
      <c r="O43" s="7"/>
    </row>
    <row r="44">
      <c r="E44" s="30"/>
      <c r="F44" s="12" t="s">
        <v>15</v>
      </c>
      <c r="G44" s="14" t="s">
        <v>38</v>
      </c>
      <c r="J44" s="6"/>
      <c r="K44" s="6"/>
      <c r="L44" s="6"/>
      <c r="M44" s="6"/>
      <c r="N44" s="6"/>
      <c r="O44" s="7"/>
    </row>
    <row r="45">
      <c r="E45" s="30"/>
      <c r="F45" s="12" t="s">
        <v>17</v>
      </c>
      <c r="G45" s="13" t="s">
        <v>39</v>
      </c>
      <c r="L45" s="6"/>
      <c r="M45" s="6"/>
      <c r="N45" s="6"/>
      <c r="O45" s="7"/>
    </row>
    <row r="46">
      <c r="E46" s="30"/>
      <c r="F46" s="6"/>
      <c r="G46" s="6"/>
      <c r="H46" s="6"/>
      <c r="I46" s="6"/>
      <c r="J46" s="6"/>
      <c r="K46" s="6"/>
      <c r="L46" s="6"/>
      <c r="M46" s="6"/>
      <c r="N46" s="6"/>
      <c r="O46" s="7"/>
    </row>
    <row r="47">
      <c r="E47" s="39">
        <v>2.0</v>
      </c>
      <c r="F47" s="9" t="s">
        <v>40</v>
      </c>
      <c r="K47" s="6"/>
      <c r="L47" s="6"/>
      <c r="M47" s="6"/>
      <c r="N47" s="6"/>
      <c r="O47" s="7"/>
    </row>
    <row r="48">
      <c r="E48" s="39">
        <v>3.0</v>
      </c>
      <c r="F48" s="9" t="s">
        <v>41</v>
      </c>
      <c r="N48" s="6"/>
      <c r="O48" s="7"/>
    </row>
    <row r="49">
      <c r="E49" s="39">
        <v>4.0</v>
      </c>
      <c r="F49" s="14" t="s">
        <v>42</v>
      </c>
      <c r="N49" s="6"/>
      <c r="O49" s="7"/>
    </row>
    <row r="50">
      <c r="E50" s="30"/>
      <c r="F50" s="6"/>
      <c r="G50" s="6"/>
      <c r="H50" s="6"/>
      <c r="I50" s="6"/>
      <c r="J50" s="6"/>
      <c r="K50" s="6"/>
      <c r="L50" s="6"/>
      <c r="M50" s="6"/>
      <c r="N50" s="6"/>
      <c r="O50" s="7"/>
    </row>
    <row r="51">
      <c r="E51" s="40" t="s">
        <v>43</v>
      </c>
      <c r="F51" s="41" t="s">
        <v>44</v>
      </c>
      <c r="G51" s="42"/>
      <c r="H51" s="42"/>
      <c r="I51" s="42"/>
      <c r="J51" s="42"/>
      <c r="K51" s="42"/>
      <c r="L51" s="42"/>
      <c r="M51" s="6"/>
      <c r="N51" s="6"/>
      <c r="O51" s="7"/>
    </row>
    <row r="52">
      <c r="E52" s="30"/>
      <c r="F52" s="6"/>
      <c r="G52" s="6"/>
      <c r="H52" s="6"/>
      <c r="I52" s="6"/>
      <c r="J52" s="6"/>
      <c r="K52" s="6"/>
      <c r="L52" s="6"/>
      <c r="M52" s="6"/>
      <c r="N52" s="6"/>
      <c r="O52" s="7"/>
    </row>
    <row r="53">
      <c r="E53" s="30"/>
      <c r="F53" s="6"/>
      <c r="G53" s="6"/>
      <c r="H53" s="6"/>
      <c r="I53" s="6"/>
      <c r="J53" s="6"/>
      <c r="K53" s="6"/>
      <c r="L53" s="6"/>
      <c r="M53" s="6"/>
      <c r="N53" s="6"/>
      <c r="O53" s="7"/>
    </row>
    <row r="54">
      <c r="E54" s="43"/>
      <c r="F54" s="21"/>
      <c r="G54" s="21"/>
      <c r="H54" s="21"/>
      <c r="I54" s="21"/>
      <c r="J54" s="21"/>
      <c r="K54" s="21"/>
      <c r="L54" s="21"/>
      <c r="M54" s="21"/>
      <c r="N54" s="21"/>
      <c r="O54" s="22"/>
    </row>
    <row r="55"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61">
      <c r="E61" s="44" t="s">
        <v>45</v>
      </c>
      <c r="F61" s="45"/>
      <c r="G61" s="45"/>
      <c r="H61" s="45"/>
      <c r="I61" s="45"/>
      <c r="J61" s="45"/>
      <c r="K61" s="45"/>
      <c r="L61" s="46"/>
    </row>
    <row r="62">
      <c r="E62" s="47"/>
      <c r="F62" s="6"/>
      <c r="G62" s="6"/>
      <c r="L62" s="48"/>
    </row>
    <row r="63">
      <c r="E63" s="47"/>
      <c r="F63" s="6"/>
      <c r="G63" s="14" t="s">
        <v>46</v>
      </c>
      <c r="L63" s="48"/>
    </row>
    <row r="64">
      <c r="E64" s="49" t="s">
        <v>47</v>
      </c>
      <c r="F64" s="14" t="s">
        <v>48</v>
      </c>
      <c r="L64" s="48"/>
    </row>
    <row r="65">
      <c r="E65" s="47"/>
      <c r="F65" s="14" t="s">
        <v>49</v>
      </c>
      <c r="L65" s="48"/>
    </row>
    <row r="66">
      <c r="E66" s="47"/>
      <c r="F66" s="50" t="s">
        <v>50</v>
      </c>
      <c r="L66" s="48"/>
    </row>
    <row r="67">
      <c r="E67" s="47"/>
      <c r="F67" s="51" t="s">
        <v>51</v>
      </c>
      <c r="G67" s="52" t="s">
        <v>52</v>
      </c>
      <c r="L67" s="48"/>
    </row>
    <row r="68">
      <c r="E68" s="47"/>
      <c r="F68" s="29" t="s">
        <v>51</v>
      </c>
      <c r="G68" s="13" t="s">
        <v>53</v>
      </c>
      <c r="L68" s="48"/>
    </row>
    <row r="69">
      <c r="E69" s="47"/>
      <c r="F69" s="29" t="s">
        <v>51</v>
      </c>
      <c r="G69" s="13" t="s">
        <v>54</v>
      </c>
      <c r="L69" s="48"/>
    </row>
    <row r="70">
      <c r="E70" s="47"/>
      <c r="F70" s="29" t="s">
        <v>51</v>
      </c>
      <c r="G70" s="13" t="s">
        <v>55</v>
      </c>
      <c r="L70" s="48"/>
    </row>
    <row r="71">
      <c r="E71" s="47"/>
      <c r="F71" s="29" t="s">
        <v>51</v>
      </c>
      <c r="G71" s="13" t="s">
        <v>56</v>
      </c>
      <c r="L71" s="48"/>
    </row>
    <row r="72">
      <c r="E72" s="47"/>
      <c r="F72" s="29" t="s">
        <v>51</v>
      </c>
      <c r="G72" s="13" t="s">
        <v>57</v>
      </c>
      <c r="L72" s="48"/>
    </row>
    <row r="73">
      <c r="E73" s="47"/>
      <c r="F73" s="29" t="s">
        <v>51</v>
      </c>
      <c r="G73" s="13" t="s">
        <v>58</v>
      </c>
      <c r="L73" s="48"/>
    </row>
    <row r="74">
      <c r="E74" s="47"/>
      <c r="F74" s="6"/>
      <c r="G74" s="6"/>
      <c r="L74" s="48"/>
    </row>
    <row r="75">
      <c r="E75" s="47"/>
      <c r="F75" s="14" t="s">
        <v>59</v>
      </c>
      <c r="L75" s="48"/>
    </row>
    <row r="76">
      <c r="E76" s="47"/>
      <c r="F76" s="29" t="s">
        <v>51</v>
      </c>
      <c r="G76" s="13" t="s">
        <v>60</v>
      </c>
      <c r="L76" s="48"/>
    </row>
    <row r="77">
      <c r="E77" s="47"/>
      <c r="F77" s="29" t="s">
        <v>51</v>
      </c>
      <c r="G77" s="13" t="s">
        <v>61</v>
      </c>
      <c r="L77" s="48"/>
    </row>
    <row r="78">
      <c r="E78" s="47"/>
      <c r="F78" s="29" t="s">
        <v>51</v>
      </c>
      <c r="G78" s="13" t="s">
        <v>62</v>
      </c>
      <c r="L78" s="48"/>
    </row>
    <row r="79">
      <c r="E79" s="47"/>
      <c r="F79" s="29" t="s">
        <v>51</v>
      </c>
      <c r="G79" s="13" t="s">
        <v>63</v>
      </c>
      <c r="L79" s="48"/>
    </row>
    <row r="80">
      <c r="E80" s="47"/>
      <c r="F80" s="29" t="s">
        <v>51</v>
      </c>
      <c r="G80" s="13" t="s">
        <v>64</v>
      </c>
      <c r="L80" s="48"/>
    </row>
    <row r="81">
      <c r="E81" s="47"/>
      <c r="F81" s="6"/>
      <c r="G81" s="6"/>
      <c r="L81" s="48"/>
    </row>
    <row r="82">
      <c r="E82" s="49" t="s">
        <v>65</v>
      </c>
      <c r="F82" s="14" t="s">
        <v>66</v>
      </c>
      <c r="L82" s="48"/>
    </row>
    <row r="83">
      <c r="E83" s="47"/>
      <c r="F83" s="14" t="s">
        <v>4</v>
      </c>
      <c r="G83" s="14" t="s">
        <v>67</v>
      </c>
      <c r="L83" s="48"/>
    </row>
    <row r="84">
      <c r="E84" s="47"/>
      <c r="F84" s="29" t="s">
        <v>51</v>
      </c>
      <c r="G84" s="13" t="s">
        <v>68</v>
      </c>
      <c r="L84" s="48"/>
    </row>
    <row r="85">
      <c r="E85" s="47"/>
      <c r="F85" s="29" t="s">
        <v>51</v>
      </c>
      <c r="G85" s="13" t="s">
        <v>69</v>
      </c>
      <c r="L85" s="48"/>
    </row>
    <row r="86">
      <c r="E86" s="47"/>
      <c r="F86" s="29" t="s">
        <v>51</v>
      </c>
      <c r="G86" s="13" t="s">
        <v>70</v>
      </c>
      <c r="L86" s="48"/>
    </row>
    <row r="87">
      <c r="E87" s="47"/>
      <c r="F87" s="29" t="s">
        <v>51</v>
      </c>
      <c r="G87" s="13" t="s">
        <v>71</v>
      </c>
      <c r="L87" s="48"/>
    </row>
    <row r="88">
      <c r="E88" s="47"/>
      <c r="F88" s="29" t="s">
        <v>51</v>
      </c>
      <c r="G88" s="13" t="s">
        <v>72</v>
      </c>
      <c r="L88" s="48"/>
    </row>
    <row r="89">
      <c r="E89" s="47"/>
      <c r="F89" s="29" t="s">
        <v>51</v>
      </c>
      <c r="G89" s="13" t="s">
        <v>73</v>
      </c>
      <c r="L89" s="48"/>
    </row>
    <row r="90">
      <c r="E90" s="47"/>
      <c r="F90" s="6"/>
      <c r="G90" s="6"/>
      <c r="L90" s="48"/>
    </row>
    <row r="91">
      <c r="E91" s="47"/>
      <c r="F91" s="12" t="s">
        <v>6</v>
      </c>
      <c r="G91" s="14" t="s">
        <v>74</v>
      </c>
      <c r="L91" s="48"/>
    </row>
    <row r="92">
      <c r="E92" s="47"/>
      <c r="F92" s="29" t="s">
        <v>51</v>
      </c>
      <c r="G92" s="13" t="s">
        <v>75</v>
      </c>
      <c r="L92" s="48"/>
    </row>
    <row r="93">
      <c r="E93" s="47"/>
      <c r="F93" s="29" t="s">
        <v>51</v>
      </c>
      <c r="G93" s="13" t="s">
        <v>76</v>
      </c>
      <c r="L93" s="48"/>
    </row>
    <row r="94">
      <c r="E94" s="47"/>
      <c r="F94" s="29" t="s">
        <v>51</v>
      </c>
      <c r="G94" s="13" t="s">
        <v>77</v>
      </c>
      <c r="L94" s="48"/>
    </row>
    <row r="95">
      <c r="E95" s="47"/>
      <c r="F95" s="29" t="s">
        <v>51</v>
      </c>
      <c r="G95" s="13" t="s">
        <v>78</v>
      </c>
      <c r="L95" s="48"/>
    </row>
    <row r="96">
      <c r="E96" s="47"/>
      <c r="F96" s="6"/>
      <c r="G96" s="6"/>
      <c r="L96" s="48"/>
    </row>
    <row r="97">
      <c r="E97" s="47"/>
      <c r="F97" s="6"/>
      <c r="G97" s="6"/>
      <c r="L97" s="48"/>
    </row>
    <row r="98">
      <c r="E98" s="49" t="s">
        <v>79</v>
      </c>
      <c r="F98" s="9" t="s">
        <v>80</v>
      </c>
      <c r="L98" s="48"/>
    </row>
    <row r="99">
      <c r="E99" s="47"/>
      <c r="F99" s="13" t="s">
        <v>81</v>
      </c>
      <c r="L99" s="48"/>
    </row>
    <row r="100">
      <c r="E100" s="53"/>
      <c r="F100" s="54"/>
      <c r="G100" s="54"/>
      <c r="H100" s="55"/>
      <c r="I100" s="55"/>
      <c r="J100" s="55"/>
      <c r="K100" s="55"/>
      <c r="L100" s="56"/>
    </row>
  </sheetData>
  <mergeCells count="41">
    <mergeCell ref="E7:O7"/>
    <mergeCell ref="F9:H9"/>
    <mergeCell ref="F10:O10"/>
    <mergeCell ref="F11:G11"/>
    <mergeCell ref="G12:J12"/>
    <mergeCell ref="G13:I13"/>
    <mergeCell ref="G14:I14"/>
    <mergeCell ref="F15:K15"/>
    <mergeCell ref="F16:H16"/>
    <mergeCell ref="G17:I17"/>
    <mergeCell ref="G18:N18"/>
    <mergeCell ref="G19:L19"/>
    <mergeCell ref="G20:L20"/>
    <mergeCell ref="G21:L21"/>
    <mergeCell ref="F23:I23"/>
    <mergeCell ref="G24:H24"/>
    <mergeCell ref="G25:J25"/>
    <mergeCell ref="G26:I26"/>
    <mergeCell ref="G27:J27"/>
    <mergeCell ref="F29:K29"/>
    <mergeCell ref="E34:O34"/>
    <mergeCell ref="F35:H35"/>
    <mergeCell ref="G36:N36"/>
    <mergeCell ref="G37:H37"/>
    <mergeCell ref="G38:K38"/>
    <mergeCell ref="G39:K39"/>
    <mergeCell ref="F40:O40"/>
    <mergeCell ref="G43:K43"/>
    <mergeCell ref="F65:G65"/>
    <mergeCell ref="F66:G66"/>
    <mergeCell ref="F75:G75"/>
    <mergeCell ref="F82:G82"/>
    <mergeCell ref="F98:G98"/>
    <mergeCell ref="F99:G99"/>
    <mergeCell ref="G44:I44"/>
    <mergeCell ref="G45:K45"/>
    <mergeCell ref="F47:J47"/>
    <mergeCell ref="F48:M48"/>
    <mergeCell ref="F49:M49"/>
    <mergeCell ref="E61:L61"/>
    <mergeCell ref="F64:G6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1.63"/>
    <col customWidth="1" min="11" max="11" width="24.0"/>
  </cols>
  <sheetData>
    <row r="1">
      <c r="A1" s="16"/>
      <c r="B1" s="57"/>
      <c r="C1" s="58"/>
      <c r="D1" s="58"/>
      <c r="E1" s="58"/>
      <c r="F1" s="58"/>
      <c r="G1" s="58"/>
      <c r="H1" s="58"/>
      <c r="I1" s="58"/>
      <c r="J1" s="6"/>
      <c r="K1" s="6"/>
      <c r="L1" s="6"/>
    </row>
    <row r="2">
      <c r="A2" s="16"/>
      <c r="B2" s="57"/>
      <c r="C2" s="58"/>
      <c r="D2" s="58"/>
      <c r="E2" s="58"/>
      <c r="F2" s="58"/>
      <c r="G2" s="58"/>
      <c r="H2" s="58"/>
      <c r="I2" s="58"/>
      <c r="J2" s="6"/>
      <c r="K2" s="6"/>
      <c r="L2" s="6"/>
    </row>
    <row r="3">
      <c r="A3" s="17"/>
      <c r="B3" s="59" t="s">
        <v>82</v>
      </c>
      <c r="C3" s="60"/>
      <c r="D3" s="58"/>
      <c r="E3" s="58"/>
      <c r="F3" s="58"/>
      <c r="G3" s="58"/>
      <c r="H3" s="58"/>
      <c r="I3" s="61"/>
      <c r="J3" s="5"/>
      <c r="K3" s="5"/>
      <c r="L3" s="5"/>
    </row>
    <row r="4">
      <c r="A4" s="16"/>
      <c r="B4" s="57"/>
      <c r="C4" s="58"/>
      <c r="D4" s="58"/>
      <c r="E4" s="58"/>
      <c r="F4" s="58"/>
      <c r="G4" s="58"/>
      <c r="H4" s="58"/>
      <c r="I4" s="58"/>
      <c r="J4" s="6"/>
      <c r="K4" s="6"/>
      <c r="L4" s="6"/>
    </row>
    <row r="5">
      <c r="A5" s="62">
        <v>1.0</v>
      </c>
      <c r="B5" s="63" t="s">
        <v>83</v>
      </c>
      <c r="D5" s="58"/>
      <c r="E5" s="58"/>
      <c r="F5" s="58"/>
      <c r="G5" s="58"/>
      <c r="H5" s="58"/>
      <c r="I5" s="58"/>
      <c r="J5" s="6"/>
      <c r="K5" s="6"/>
      <c r="L5" s="6"/>
    </row>
    <row r="6">
      <c r="A6" s="16"/>
      <c r="B6" s="64" t="s">
        <v>84</v>
      </c>
      <c r="C6" s="63"/>
      <c r="D6" s="63"/>
      <c r="E6" s="58"/>
      <c r="F6" s="58"/>
      <c r="G6" s="63" t="s">
        <v>85</v>
      </c>
      <c r="H6" s="58"/>
      <c r="I6" s="58"/>
      <c r="J6" s="6"/>
      <c r="K6" s="6"/>
      <c r="L6" s="6"/>
    </row>
    <row r="7">
      <c r="A7" s="16"/>
      <c r="B7" s="64" t="s">
        <v>86</v>
      </c>
      <c r="C7" s="63"/>
      <c r="D7" s="63"/>
      <c r="E7" s="58"/>
      <c r="F7" s="58"/>
      <c r="G7" s="65" t="s">
        <v>87</v>
      </c>
      <c r="H7" s="66" t="s">
        <v>88</v>
      </c>
      <c r="I7" s="65" t="s">
        <v>89</v>
      </c>
      <c r="J7" s="65" t="s">
        <v>90</v>
      </c>
      <c r="K7" s="67" t="s">
        <v>91</v>
      </c>
      <c r="L7" s="67" t="s">
        <v>92</v>
      </c>
      <c r="M7" s="66" t="s">
        <v>93</v>
      </c>
    </row>
    <row r="8">
      <c r="A8" s="16"/>
      <c r="B8" s="64" t="s">
        <v>94</v>
      </c>
      <c r="C8" s="63"/>
      <c r="D8" s="63"/>
      <c r="E8" s="58"/>
      <c r="F8" s="58"/>
      <c r="G8" s="68" t="s">
        <v>95</v>
      </c>
      <c r="H8" s="68" t="s">
        <v>96</v>
      </c>
      <c r="I8" s="68" t="s">
        <v>97</v>
      </c>
      <c r="J8" s="69" t="s">
        <v>98</v>
      </c>
      <c r="K8" s="69" t="s">
        <v>99</v>
      </c>
      <c r="L8" s="70"/>
      <c r="M8" s="71">
        <v>100000.0</v>
      </c>
    </row>
    <row r="9">
      <c r="A9" s="16"/>
      <c r="B9" s="64" t="s">
        <v>100</v>
      </c>
      <c r="C9" s="63"/>
      <c r="D9" s="63"/>
      <c r="E9" s="58"/>
      <c r="F9" s="58"/>
      <c r="G9" s="68" t="s">
        <v>101</v>
      </c>
      <c r="H9" s="68" t="s">
        <v>96</v>
      </c>
      <c r="I9" s="68" t="s">
        <v>97</v>
      </c>
      <c r="J9" s="69" t="s">
        <v>102</v>
      </c>
      <c r="K9" s="69" t="s">
        <v>103</v>
      </c>
      <c r="L9" s="72">
        <v>1000000.0</v>
      </c>
      <c r="M9" s="73"/>
    </row>
    <row r="10">
      <c r="A10" s="62"/>
      <c r="B10" s="64" t="s">
        <v>104</v>
      </c>
      <c r="C10" s="63"/>
      <c r="D10" s="63"/>
      <c r="E10" s="58"/>
      <c r="F10" s="58"/>
      <c r="G10" s="74"/>
      <c r="H10" s="74"/>
      <c r="I10" s="74"/>
      <c r="J10" s="75"/>
      <c r="K10" s="75"/>
      <c r="L10" s="70"/>
      <c r="M10" s="73"/>
    </row>
    <row r="11">
      <c r="A11" s="16"/>
      <c r="B11" s="64" t="s">
        <v>105</v>
      </c>
      <c r="C11" s="63"/>
      <c r="D11" s="63"/>
      <c r="E11" s="58"/>
      <c r="F11" s="58"/>
      <c r="G11" s="74"/>
      <c r="H11" s="74"/>
      <c r="I11" s="74"/>
      <c r="J11" s="75"/>
      <c r="K11" s="75"/>
      <c r="L11" s="70"/>
      <c r="M11" s="73"/>
    </row>
    <row r="12">
      <c r="A12" s="16"/>
      <c r="B12" s="64" t="s">
        <v>106</v>
      </c>
      <c r="C12" s="63"/>
      <c r="D12" s="63"/>
      <c r="E12" s="58"/>
      <c r="F12" s="58"/>
      <c r="G12" s="74"/>
      <c r="H12" s="74"/>
      <c r="I12" s="74"/>
      <c r="J12" s="75"/>
      <c r="K12" s="75"/>
      <c r="L12" s="70"/>
      <c r="M12" s="73"/>
    </row>
    <row r="13">
      <c r="A13" s="16"/>
      <c r="B13" s="64"/>
      <c r="C13" s="63"/>
      <c r="D13" s="63"/>
      <c r="E13" s="58"/>
      <c r="F13" s="58"/>
      <c r="G13" s="74"/>
      <c r="H13" s="74"/>
      <c r="I13" s="74"/>
      <c r="J13" s="75"/>
      <c r="K13" s="75"/>
      <c r="L13" s="70"/>
      <c r="M13" s="73"/>
    </row>
    <row r="14">
      <c r="A14" s="16"/>
      <c r="B14" s="64" t="s">
        <v>107</v>
      </c>
      <c r="C14" s="63"/>
      <c r="D14" s="63"/>
      <c r="E14" s="58"/>
      <c r="F14" s="58"/>
      <c r="G14" s="74"/>
      <c r="H14" s="74"/>
      <c r="I14" s="74"/>
      <c r="J14" s="75"/>
      <c r="K14" s="75"/>
      <c r="L14" s="70"/>
      <c r="M14" s="73"/>
    </row>
    <row r="15">
      <c r="A15" s="16"/>
      <c r="B15" s="63"/>
      <c r="C15" s="63"/>
      <c r="D15" s="63"/>
      <c r="E15" s="58"/>
      <c r="F15" s="58"/>
      <c r="G15" s="74"/>
      <c r="H15" s="74"/>
      <c r="I15" s="74"/>
      <c r="J15" s="75"/>
      <c r="K15" s="75"/>
      <c r="L15" s="70"/>
      <c r="M15" s="73"/>
    </row>
    <row r="16">
      <c r="A16" s="16"/>
      <c r="B16" s="63"/>
      <c r="C16" s="63"/>
      <c r="D16" s="63"/>
      <c r="E16" s="58"/>
      <c r="F16" s="58"/>
      <c r="G16" s="74"/>
      <c r="H16" s="74"/>
      <c r="I16" s="74"/>
      <c r="J16" s="75"/>
      <c r="K16" s="75"/>
      <c r="L16" s="70"/>
      <c r="M16" s="73"/>
    </row>
    <row r="17">
      <c r="A17" s="16"/>
      <c r="B17" s="63"/>
      <c r="C17" s="63"/>
      <c r="D17" s="63"/>
      <c r="E17" s="58"/>
      <c r="F17" s="58"/>
      <c r="G17" s="74"/>
      <c r="H17" s="74"/>
      <c r="I17" s="74"/>
      <c r="J17" s="75"/>
      <c r="K17" s="75"/>
      <c r="L17" s="70"/>
      <c r="M17" s="73"/>
    </row>
    <row r="18">
      <c r="A18" s="16"/>
      <c r="B18" s="63"/>
      <c r="C18" s="63"/>
      <c r="D18" s="63"/>
      <c r="E18" s="58"/>
      <c r="F18" s="58"/>
    </row>
    <row r="19">
      <c r="A19" s="16"/>
      <c r="B19" s="63"/>
      <c r="C19" s="63"/>
      <c r="D19" s="63"/>
      <c r="E19" s="58"/>
      <c r="F19" s="58"/>
      <c r="G19" s="58"/>
      <c r="H19" s="58"/>
      <c r="I19" s="58"/>
      <c r="J19" s="6"/>
      <c r="K19" s="6"/>
      <c r="L19" s="6"/>
    </row>
    <row r="20">
      <c r="A20" s="16"/>
      <c r="B20" s="63"/>
      <c r="C20" s="63"/>
      <c r="D20" s="63"/>
      <c r="E20" s="58"/>
      <c r="F20" s="58"/>
      <c r="G20" s="58"/>
      <c r="H20" s="58"/>
      <c r="I20" s="58"/>
      <c r="J20" s="6"/>
      <c r="K20" s="6"/>
      <c r="L20" s="6"/>
    </row>
    <row r="21">
      <c r="A21" s="16"/>
      <c r="B21" s="63" t="s">
        <v>108</v>
      </c>
      <c r="E21" s="58"/>
      <c r="F21" s="58"/>
      <c r="G21" s="58"/>
      <c r="H21" s="58"/>
      <c r="I21" s="58"/>
      <c r="J21" s="6"/>
      <c r="K21" s="6"/>
      <c r="L21" s="6"/>
    </row>
    <row r="22">
      <c r="A22" s="16"/>
      <c r="B22" s="64" t="s">
        <v>109</v>
      </c>
      <c r="F22" s="58"/>
      <c r="G22" s="58"/>
      <c r="H22" s="58"/>
      <c r="I22" s="58"/>
      <c r="J22" s="6"/>
      <c r="K22" s="6"/>
      <c r="L22" s="6"/>
    </row>
    <row r="23">
      <c r="A23" s="16"/>
      <c r="B23" s="63" t="s">
        <v>110</v>
      </c>
      <c r="G23" s="58"/>
      <c r="H23" s="58"/>
      <c r="I23" s="58"/>
      <c r="J23" s="6"/>
      <c r="K23" s="6"/>
      <c r="L23" s="6"/>
    </row>
    <row r="24">
      <c r="A24" s="16"/>
      <c r="B24" s="64" t="s">
        <v>111</v>
      </c>
      <c r="F24" s="58"/>
      <c r="G24" s="58"/>
      <c r="H24" s="58"/>
      <c r="I24" s="58"/>
      <c r="J24" s="6"/>
      <c r="K24" s="6"/>
      <c r="L24" s="6"/>
    </row>
    <row r="25">
      <c r="A25" s="16"/>
      <c r="B25" s="63" t="s">
        <v>112</v>
      </c>
      <c r="D25" s="58"/>
      <c r="E25" s="58"/>
      <c r="F25" s="58"/>
      <c r="G25" s="58"/>
      <c r="H25" s="58"/>
      <c r="I25" s="58"/>
      <c r="J25" s="6"/>
      <c r="K25" s="6"/>
      <c r="L25" s="6"/>
    </row>
    <row r="26">
      <c r="A26" s="16"/>
      <c r="B26" s="64" t="s">
        <v>113</v>
      </c>
      <c r="L26" s="6"/>
    </row>
    <row r="27">
      <c r="A27" s="16"/>
      <c r="B27" s="64" t="s">
        <v>114</v>
      </c>
      <c r="L27" s="6"/>
    </row>
    <row r="28">
      <c r="A28" s="16"/>
      <c r="B28" s="63" t="s">
        <v>115</v>
      </c>
      <c r="D28" s="58"/>
      <c r="E28" s="58"/>
      <c r="F28" s="58"/>
      <c r="G28" s="58"/>
      <c r="H28" s="58"/>
      <c r="I28" s="58"/>
      <c r="J28" s="6"/>
      <c r="K28" s="6"/>
      <c r="L28" s="6"/>
    </row>
    <row r="29">
      <c r="A29" s="16"/>
      <c r="B29" s="64" t="s">
        <v>116</v>
      </c>
      <c r="D29" s="58"/>
      <c r="E29" s="58"/>
      <c r="F29" s="58"/>
      <c r="G29" s="58"/>
      <c r="H29" s="58"/>
      <c r="I29" s="58"/>
      <c r="J29" s="6"/>
      <c r="K29" s="6"/>
      <c r="L29" s="6"/>
    </row>
    <row r="30">
      <c r="A30" s="16"/>
      <c r="B30" s="64" t="s">
        <v>117</v>
      </c>
      <c r="K30" s="6"/>
      <c r="L30" s="6"/>
    </row>
    <row r="31">
      <c r="A31" s="16"/>
      <c r="B31" s="64" t="s">
        <v>118</v>
      </c>
      <c r="F31" s="58"/>
      <c r="G31" s="58"/>
      <c r="H31" s="58"/>
      <c r="I31" s="58"/>
      <c r="J31" s="6"/>
      <c r="K31" s="6"/>
      <c r="L31" s="6"/>
    </row>
    <row r="32">
      <c r="A32" s="16"/>
      <c r="B32" s="64" t="s">
        <v>119</v>
      </c>
    </row>
    <row r="33">
      <c r="A33" s="16"/>
      <c r="B33" s="63" t="s">
        <v>120</v>
      </c>
      <c r="D33" s="58"/>
      <c r="E33" s="58"/>
      <c r="F33" s="58"/>
      <c r="G33" s="58"/>
      <c r="H33" s="58"/>
      <c r="I33" s="58"/>
      <c r="J33" s="6"/>
      <c r="K33" s="6"/>
      <c r="L33" s="6"/>
    </row>
    <row r="34">
      <c r="A34" s="16"/>
      <c r="B34" s="64" t="s">
        <v>121</v>
      </c>
    </row>
    <row r="35">
      <c r="A35" s="16"/>
      <c r="B35" s="64" t="s">
        <v>122</v>
      </c>
      <c r="D35" s="58"/>
      <c r="E35" s="58"/>
      <c r="F35" s="58"/>
      <c r="G35" s="58"/>
      <c r="H35" s="58"/>
      <c r="I35" s="58"/>
      <c r="J35" s="6"/>
      <c r="K35" s="6"/>
      <c r="L35" s="6"/>
    </row>
    <row r="36">
      <c r="A36" s="16"/>
      <c r="B36" s="63" t="s">
        <v>123</v>
      </c>
      <c r="C36" s="76" t="s">
        <v>124</v>
      </c>
      <c r="D36" s="77" t="s">
        <v>125</v>
      </c>
      <c r="E36" s="78"/>
      <c r="F36" s="78"/>
      <c r="G36" s="78"/>
      <c r="H36" s="78"/>
      <c r="I36" s="79"/>
      <c r="J36" s="80"/>
      <c r="K36" s="81" t="s">
        <v>126</v>
      </c>
      <c r="L36" s="82"/>
    </row>
    <row r="37">
      <c r="A37" s="16"/>
      <c r="B37" s="57"/>
      <c r="C37" s="83"/>
      <c r="D37" s="84" t="s">
        <v>127</v>
      </c>
      <c r="F37" s="58"/>
      <c r="G37" s="58"/>
      <c r="H37" s="51" t="s">
        <v>126</v>
      </c>
      <c r="I37" s="58"/>
      <c r="J37" s="6"/>
      <c r="K37" s="6"/>
      <c r="L37" s="85"/>
    </row>
    <row r="38">
      <c r="A38" s="16"/>
      <c r="B38" s="57"/>
      <c r="C38" s="83"/>
      <c r="D38" s="84" t="s">
        <v>128</v>
      </c>
      <c r="F38" s="58"/>
      <c r="G38" s="58"/>
      <c r="H38" s="51" t="s">
        <v>126</v>
      </c>
      <c r="I38" s="58"/>
      <c r="J38" s="6"/>
      <c r="K38" s="6"/>
      <c r="L38" s="85"/>
    </row>
    <row r="39">
      <c r="A39" s="16"/>
      <c r="B39" s="57"/>
      <c r="C39" s="58"/>
      <c r="D39" s="84" t="s">
        <v>129</v>
      </c>
      <c r="F39" s="58"/>
      <c r="G39" s="86"/>
      <c r="H39" s="87" t="s">
        <v>126</v>
      </c>
      <c r="I39" s="86"/>
      <c r="J39" s="6"/>
      <c r="K39" s="6"/>
      <c r="L39" s="85"/>
    </row>
    <row r="40">
      <c r="A40" s="16"/>
      <c r="B40" s="57"/>
      <c r="C40" s="58"/>
      <c r="D40" s="88" t="s">
        <v>130</v>
      </c>
      <c r="E40" s="58"/>
      <c r="F40" s="58"/>
      <c r="G40" s="58"/>
      <c r="H40" s="51" t="s">
        <v>126</v>
      </c>
      <c r="I40" s="58"/>
      <c r="J40" s="6"/>
      <c r="K40" s="54"/>
      <c r="L40" s="85"/>
    </row>
    <row r="41">
      <c r="A41" s="16"/>
      <c r="B41" s="57"/>
      <c r="C41" s="58"/>
      <c r="D41" s="88" t="s">
        <v>131</v>
      </c>
      <c r="F41" s="58"/>
      <c r="G41" s="58"/>
      <c r="H41" s="58"/>
      <c r="I41" s="58"/>
      <c r="J41" s="6"/>
      <c r="K41" s="13" t="s">
        <v>126</v>
      </c>
      <c r="L41" s="89" t="s">
        <v>132</v>
      </c>
    </row>
    <row r="42">
      <c r="A42" s="16"/>
      <c r="B42" s="57"/>
      <c r="C42" s="58"/>
      <c r="D42" s="90"/>
      <c r="E42" s="58"/>
      <c r="F42" s="58"/>
      <c r="G42" s="58"/>
      <c r="H42" s="58"/>
      <c r="I42" s="58"/>
      <c r="J42" s="6"/>
      <c r="K42" s="6"/>
      <c r="L42" s="85"/>
    </row>
    <row r="43">
      <c r="A43" s="16"/>
      <c r="B43" s="57"/>
      <c r="C43" s="58"/>
      <c r="D43" s="91" t="s">
        <v>133</v>
      </c>
      <c r="E43" s="58"/>
      <c r="F43" s="58"/>
      <c r="G43" s="58"/>
      <c r="H43" s="87" t="s">
        <v>126</v>
      </c>
      <c r="I43" s="58"/>
      <c r="J43" s="6"/>
      <c r="K43" s="6"/>
      <c r="L43" s="85"/>
    </row>
    <row r="44">
      <c r="A44" s="16"/>
      <c r="B44" s="57"/>
      <c r="C44" s="58"/>
      <c r="D44" s="88" t="s">
        <v>134</v>
      </c>
      <c r="F44" s="58"/>
      <c r="G44" s="58"/>
      <c r="H44" s="51" t="s">
        <v>126</v>
      </c>
      <c r="I44" s="58"/>
      <c r="J44" s="6"/>
      <c r="K44" s="54"/>
      <c r="L44" s="85"/>
    </row>
    <row r="45">
      <c r="A45" s="16"/>
      <c r="B45" s="57"/>
      <c r="C45" s="58"/>
      <c r="D45" s="92" t="s">
        <v>135</v>
      </c>
      <c r="E45" s="93"/>
      <c r="F45" s="86"/>
      <c r="G45" s="86"/>
      <c r="H45" s="86"/>
      <c r="I45" s="86"/>
      <c r="J45" s="54"/>
      <c r="K45" s="94" t="s">
        <v>126</v>
      </c>
      <c r="L45" s="95" t="s">
        <v>136</v>
      </c>
    </row>
    <row r="46">
      <c r="A46" s="16"/>
      <c r="B46" s="57"/>
      <c r="C46" s="58"/>
      <c r="D46" s="96"/>
      <c r="E46" s="58"/>
      <c r="F46" s="58"/>
      <c r="G46" s="58"/>
      <c r="H46" s="58"/>
      <c r="I46" s="58"/>
      <c r="J46" s="6"/>
      <c r="K46" s="6"/>
      <c r="L46" s="10"/>
    </row>
    <row r="47">
      <c r="A47" s="16"/>
      <c r="B47" s="63" t="s">
        <v>137</v>
      </c>
      <c r="G47" s="58"/>
      <c r="H47" s="58"/>
      <c r="I47" s="58"/>
      <c r="J47" s="6"/>
      <c r="K47" s="6"/>
      <c r="L47" s="6"/>
    </row>
    <row r="48">
      <c r="A48" s="16"/>
      <c r="B48" s="64" t="s">
        <v>138</v>
      </c>
      <c r="H48" s="58"/>
      <c r="I48" s="58"/>
      <c r="J48" s="6"/>
      <c r="K48" s="6"/>
      <c r="L48" s="6"/>
    </row>
    <row r="49">
      <c r="A49" s="16"/>
      <c r="B49" s="64" t="s">
        <v>139</v>
      </c>
      <c r="G49" s="58"/>
      <c r="H49" s="58"/>
      <c r="I49" s="58"/>
      <c r="J49" s="6"/>
      <c r="K49" s="6"/>
      <c r="L49" s="6"/>
    </row>
    <row r="50">
      <c r="A50" s="16"/>
      <c r="B50" s="64" t="s">
        <v>140</v>
      </c>
      <c r="H50" s="58"/>
      <c r="I50" s="58"/>
      <c r="J50" s="6"/>
      <c r="K50" s="6"/>
      <c r="L50" s="6"/>
    </row>
    <row r="51">
      <c r="A51" s="16"/>
      <c r="B51" s="63" t="s">
        <v>141</v>
      </c>
      <c r="I51" s="58"/>
      <c r="J51" s="6"/>
      <c r="K51" s="6"/>
      <c r="L51" s="6"/>
    </row>
    <row r="52">
      <c r="A52" s="16"/>
      <c r="B52" s="64" t="s">
        <v>142</v>
      </c>
      <c r="D52" s="58"/>
      <c r="E52" s="58"/>
      <c r="F52" s="58"/>
      <c r="G52" s="58"/>
      <c r="H52" s="58"/>
      <c r="I52" s="58"/>
      <c r="J52" s="6"/>
      <c r="K52" s="6"/>
      <c r="L52" s="6"/>
    </row>
    <row r="53">
      <c r="A53" s="16"/>
      <c r="B53" s="64" t="s">
        <v>143</v>
      </c>
      <c r="E53" s="58"/>
      <c r="F53" s="58"/>
      <c r="G53" s="58"/>
      <c r="H53" s="58"/>
      <c r="I53" s="58"/>
      <c r="J53" s="6"/>
      <c r="K53" s="6"/>
      <c r="L53" s="6"/>
    </row>
    <row r="54">
      <c r="A54" s="16"/>
      <c r="B54" s="64" t="s">
        <v>144</v>
      </c>
      <c r="E54" s="58"/>
      <c r="F54" s="58"/>
      <c r="G54" s="58"/>
      <c r="H54" s="58"/>
      <c r="I54" s="58"/>
      <c r="J54" s="6"/>
      <c r="K54" s="6"/>
      <c r="L54" s="6"/>
    </row>
    <row r="55">
      <c r="A55" s="16"/>
      <c r="B55" s="57"/>
      <c r="C55" s="58"/>
      <c r="D55" s="96"/>
      <c r="E55" s="58"/>
      <c r="F55" s="58"/>
      <c r="G55" s="58"/>
      <c r="H55" s="58"/>
      <c r="I55" s="58"/>
      <c r="J55" s="6"/>
      <c r="K55" s="6"/>
      <c r="L55" s="6"/>
    </row>
    <row r="56">
      <c r="A56" s="16"/>
      <c r="B56" s="57"/>
      <c r="C56" s="58"/>
      <c r="D56" s="96"/>
      <c r="E56" s="58"/>
      <c r="F56" s="58"/>
      <c r="G56" s="58"/>
      <c r="H56" s="58"/>
      <c r="I56" s="58"/>
      <c r="J56" s="6"/>
      <c r="K56" s="6"/>
      <c r="L56" s="6"/>
    </row>
    <row r="57">
      <c r="A57" s="16"/>
      <c r="B57" s="59" t="s">
        <v>145</v>
      </c>
      <c r="C57" s="58"/>
      <c r="D57" s="58"/>
      <c r="E57" s="58"/>
      <c r="F57" s="58"/>
      <c r="G57" s="58"/>
      <c r="H57" s="58"/>
      <c r="I57" s="58"/>
      <c r="J57" s="6"/>
      <c r="K57" s="6"/>
      <c r="L57" s="6"/>
    </row>
    <row r="58">
      <c r="A58" s="16"/>
      <c r="B58" s="57"/>
      <c r="C58" s="58"/>
      <c r="D58" s="58"/>
      <c r="E58" s="58"/>
      <c r="F58" s="58"/>
      <c r="G58" s="58"/>
      <c r="H58" s="58"/>
      <c r="I58" s="58"/>
      <c r="J58" s="6"/>
      <c r="K58" s="6"/>
      <c r="L58" s="6"/>
    </row>
    <row r="59">
      <c r="A59" s="62">
        <v>1.0</v>
      </c>
      <c r="B59" s="64" t="s">
        <v>146</v>
      </c>
      <c r="I59" s="58"/>
      <c r="J59" s="6"/>
      <c r="K59" s="6"/>
      <c r="L59" s="6"/>
    </row>
    <row r="60">
      <c r="A60" s="62">
        <v>2.0</v>
      </c>
      <c r="B60" s="64" t="s">
        <v>147</v>
      </c>
      <c r="I60" s="58"/>
      <c r="J60" s="6"/>
      <c r="K60" s="6"/>
      <c r="L60" s="6"/>
    </row>
    <row r="64">
      <c r="B64" s="97" t="s">
        <v>148</v>
      </c>
    </row>
    <row r="65">
      <c r="A65" s="98" t="s">
        <v>149</v>
      </c>
      <c r="B65" s="99" t="s">
        <v>150</v>
      </c>
      <c r="C65" s="46"/>
      <c r="D65" s="99" t="s">
        <v>151</v>
      </c>
      <c r="E65" s="46"/>
      <c r="F65" s="99" t="s">
        <v>152</v>
      </c>
      <c r="G65" s="46"/>
      <c r="H65" s="99" t="s">
        <v>153</v>
      </c>
      <c r="I65" s="46"/>
      <c r="J65" s="99" t="s">
        <v>154</v>
      </c>
      <c r="K65" s="46"/>
    </row>
    <row r="66">
      <c r="A66" s="100"/>
      <c r="B66" s="101" t="s">
        <v>155</v>
      </c>
      <c r="C66" s="101" t="s">
        <v>156</v>
      </c>
      <c r="D66" s="101" t="s">
        <v>155</v>
      </c>
      <c r="E66" s="101" t="s">
        <v>156</v>
      </c>
      <c r="F66" s="101" t="s">
        <v>155</v>
      </c>
      <c r="G66" s="101" t="s">
        <v>156</v>
      </c>
      <c r="H66" s="101" t="s">
        <v>155</v>
      </c>
      <c r="I66" s="101" t="s">
        <v>156</v>
      </c>
      <c r="J66" s="101" t="s">
        <v>155</v>
      </c>
      <c r="K66" s="101" t="s">
        <v>156</v>
      </c>
    </row>
    <row r="67">
      <c r="A67" s="102" t="s">
        <v>157</v>
      </c>
      <c r="B67" s="103"/>
      <c r="C67" s="103"/>
      <c r="D67" s="104"/>
      <c r="E67" s="104"/>
      <c r="F67" s="103"/>
      <c r="G67" s="103"/>
      <c r="H67" s="103"/>
      <c r="I67" s="103"/>
      <c r="J67" s="103"/>
      <c r="K67" s="103"/>
    </row>
    <row r="69">
      <c r="B69" s="97" t="s">
        <v>158</v>
      </c>
    </row>
    <row r="70">
      <c r="B70" s="105" t="s">
        <v>159</v>
      </c>
    </row>
    <row r="71">
      <c r="B71" s="106"/>
      <c r="C71" s="106"/>
      <c r="D71" s="106"/>
    </row>
    <row r="72">
      <c r="B72" s="6"/>
      <c r="C72" s="6"/>
      <c r="D72" s="6"/>
    </row>
    <row r="73">
      <c r="B73" s="14" t="s">
        <v>160</v>
      </c>
      <c r="C73" s="6"/>
      <c r="D73" s="6"/>
    </row>
    <row r="74">
      <c r="B74" s="13" t="s">
        <v>161</v>
      </c>
      <c r="C74" s="6"/>
      <c r="D74" s="10"/>
    </row>
    <row r="75">
      <c r="B75" s="13" t="s">
        <v>162</v>
      </c>
      <c r="C75" s="6"/>
      <c r="D75" s="10"/>
    </row>
    <row r="76">
      <c r="B76" s="13" t="s">
        <v>163</v>
      </c>
      <c r="C76" s="6"/>
      <c r="D76" s="10"/>
    </row>
    <row r="77">
      <c r="B77" s="13" t="s">
        <v>164</v>
      </c>
      <c r="C77" s="6"/>
      <c r="D77" s="10"/>
    </row>
    <row r="78">
      <c r="B78" s="13" t="s">
        <v>165</v>
      </c>
      <c r="C78" s="6"/>
      <c r="D78" s="10"/>
    </row>
    <row r="79">
      <c r="B79" s="6"/>
      <c r="C79" s="6"/>
      <c r="D79" s="6"/>
    </row>
    <row r="80">
      <c r="B80" s="14" t="s">
        <v>166</v>
      </c>
      <c r="C80" s="6"/>
      <c r="D80" s="6"/>
    </row>
    <row r="81">
      <c r="B81" s="13" t="s">
        <v>167</v>
      </c>
      <c r="C81" s="107"/>
      <c r="D81" s="6"/>
    </row>
    <row r="82">
      <c r="B82" s="108" t="s">
        <v>128</v>
      </c>
      <c r="C82" s="109"/>
      <c r="D82" s="110"/>
    </row>
    <row r="83">
      <c r="B83" s="108" t="s">
        <v>168</v>
      </c>
      <c r="C83" s="111" t="s">
        <v>51</v>
      </c>
      <c r="D83" s="110"/>
    </row>
    <row r="84">
      <c r="B84" s="108" t="s">
        <v>169</v>
      </c>
      <c r="C84" s="109"/>
      <c r="D84" s="110"/>
    </row>
    <row r="85">
      <c r="B85" s="6"/>
      <c r="C85" s="6"/>
      <c r="D85" s="14" t="s">
        <v>51</v>
      </c>
    </row>
    <row r="86">
      <c r="B86" s="6"/>
      <c r="C86" s="6"/>
      <c r="D86" s="6"/>
    </row>
    <row r="87">
      <c r="B87" s="14" t="s">
        <v>170</v>
      </c>
      <c r="C87" s="10"/>
      <c r="D87" s="10"/>
    </row>
    <row r="88">
      <c r="B88" s="112" t="s">
        <v>171</v>
      </c>
      <c r="C88" s="110"/>
      <c r="D88" s="6"/>
    </row>
    <row r="89">
      <c r="B89" s="112" t="s">
        <v>172</v>
      </c>
      <c r="C89" s="110"/>
      <c r="D89" s="6"/>
    </row>
    <row r="90">
      <c r="B90" s="112" t="s">
        <v>173</v>
      </c>
      <c r="C90" s="110"/>
      <c r="D90" s="6"/>
    </row>
    <row r="91">
      <c r="B91" s="112" t="s">
        <v>174</v>
      </c>
      <c r="C91" s="110"/>
      <c r="D91" s="6"/>
    </row>
    <row r="92">
      <c r="B92" s="112" t="s">
        <v>175</v>
      </c>
      <c r="C92" s="110"/>
      <c r="D92" s="6"/>
    </row>
    <row r="93">
      <c r="B93" s="112" t="s">
        <v>176</v>
      </c>
      <c r="C93" s="110"/>
      <c r="D93" s="6"/>
    </row>
    <row r="94">
      <c r="B94" s="112" t="s">
        <v>177</v>
      </c>
      <c r="C94" s="110"/>
      <c r="D94" s="6"/>
    </row>
    <row r="95">
      <c r="B95" s="112" t="s">
        <v>178</v>
      </c>
      <c r="C95" s="110"/>
      <c r="D95" s="6"/>
    </row>
    <row r="96">
      <c r="B96" s="112" t="s">
        <v>179</v>
      </c>
      <c r="C96" s="110"/>
      <c r="D96" s="6"/>
    </row>
    <row r="97">
      <c r="B97" s="112" t="s">
        <v>180</v>
      </c>
      <c r="C97" s="110"/>
      <c r="D97" s="6"/>
    </row>
    <row r="98">
      <c r="B98" s="112" t="s">
        <v>181</v>
      </c>
      <c r="C98" s="110"/>
      <c r="D98" s="6"/>
    </row>
    <row r="99">
      <c r="B99" s="112" t="s">
        <v>182</v>
      </c>
      <c r="C99" s="110"/>
      <c r="D99" s="6"/>
    </row>
    <row r="100">
      <c r="B100" s="112" t="s">
        <v>183</v>
      </c>
      <c r="C100" s="110"/>
      <c r="D100" s="6"/>
    </row>
    <row r="101">
      <c r="B101" s="112" t="s">
        <v>184</v>
      </c>
      <c r="C101" s="110"/>
      <c r="D101" s="6"/>
    </row>
    <row r="102">
      <c r="B102" s="112" t="s">
        <v>99</v>
      </c>
      <c r="C102" s="110"/>
      <c r="D102" s="6"/>
    </row>
    <row r="103">
      <c r="B103" s="112" t="s">
        <v>185</v>
      </c>
      <c r="C103" s="110"/>
      <c r="D103" s="13" t="s">
        <v>51</v>
      </c>
    </row>
    <row r="104">
      <c r="B104" s="112" t="s">
        <v>186</v>
      </c>
      <c r="C104" s="110"/>
      <c r="D104" s="6"/>
    </row>
    <row r="105">
      <c r="B105" s="112" t="s">
        <v>187</v>
      </c>
      <c r="C105" s="110"/>
      <c r="D105" s="6"/>
    </row>
    <row r="106">
      <c r="B106" s="112" t="s">
        <v>188</v>
      </c>
      <c r="C106" s="110"/>
      <c r="D106" s="6"/>
    </row>
    <row r="107">
      <c r="B107" s="112" t="s">
        <v>189</v>
      </c>
      <c r="C107" s="110"/>
      <c r="D107" s="6"/>
    </row>
    <row r="108">
      <c r="B108" s="112" t="s">
        <v>190</v>
      </c>
      <c r="C108" s="110"/>
      <c r="D108" s="6"/>
    </row>
    <row r="109">
      <c r="B109" s="112" t="s">
        <v>191</v>
      </c>
      <c r="C109" s="110"/>
      <c r="D109" s="6"/>
    </row>
    <row r="110">
      <c r="B110" s="112" t="s">
        <v>192</v>
      </c>
      <c r="C110" s="110"/>
      <c r="D110" s="6"/>
    </row>
    <row r="111">
      <c r="B111" s="112" t="s">
        <v>193</v>
      </c>
      <c r="C111" s="110"/>
      <c r="D111" s="6"/>
    </row>
    <row r="112">
      <c r="B112" s="112" t="s">
        <v>194</v>
      </c>
      <c r="C112" s="110"/>
      <c r="D112" s="6"/>
    </row>
    <row r="113">
      <c r="B113" s="112" t="s">
        <v>195</v>
      </c>
      <c r="C113" s="110"/>
      <c r="D113" s="6"/>
    </row>
    <row r="114">
      <c r="B114" s="112" t="s">
        <v>196</v>
      </c>
      <c r="C114" s="110"/>
      <c r="D114" s="6"/>
    </row>
    <row r="115">
      <c r="B115" s="112" t="s">
        <v>197</v>
      </c>
      <c r="C115" s="110"/>
      <c r="D115" s="6"/>
    </row>
    <row r="116">
      <c r="B116" s="112" t="s">
        <v>198</v>
      </c>
      <c r="C116" s="110"/>
      <c r="D116" s="6"/>
    </row>
    <row r="117">
      <c r="B117" s="13" t="s">
        <v>199</v>
      </c>
      <c r="C117" s="110"/>
      <c r="D117" s="6"/>
    </row>
    <row r="118">
      <c r="B118" s="13" t="s">
        <v>200</v>
      </c>
      <c r="C118" s="110"/>
      <c r="D118" s="6"/>
    </row>
    <row r="119">
      <c r="B119" s="112" t="s">
        <v>201</v>
      </c>
      <c r="C119" s="110"/>
      <c r="D119" s="6"/>
    </row>
    <row r="120">
      <c r="B120" s="13" t="s">
        <v>202</v>
      </c>
      <c r="C120" s="110"/>
      <c r="D120" s="13" t="s">
        <v>51</v>
      </c>
    </row>
    <row r="121">
      <c r="B121" s="13" t="s">
        <v>203</v>
      </c>
      <c r="C121" s="110"/>
      <c r="D121" s="6"/>
    </row>
    <row r="122">
      <c r="B122" s="13" t="s">
        <v>204</v>
      </c>
      <c r="C122" s="110"/>
      <c r="D122" s="6"/>
    </row>
    <row r="123">
      <c r="B123" s="13" t="s">
        <v>205</v>
      </c>
      <c r="C123" s="110"/>
      <c r="D123" s="6"/>
    </row>
    <row r="124">
      <c r="B124" s="13" t="s">
        <v>165</v>
      </c>
      <c r="C124" s="110"/>
      <c r="D124" s="6"/>
    </row>
    <row r="125">
      <c r="B125" s="13" t="s">
        <v>164</v>
      </c>
      <c r="C125" s="110"/>
      <c r="D125" s="6"/>
    </row>
    <row r="126">
      <c r="B126" s="13" t="s">
        <v>206</v>
      </c>
      <c r="C126" s="110"/>
      <c r="D126" s="6"/>
    </row>
    <row r="127">
      <c r="B127" s="6"/>
      <c r="C127" s="6"/>
      <c r="D127" s="113" t="s">
        <v>51</v>
      </c>
    </row>
    <row r="128">
      <c r="B128" s="14" t="s">
        <v>207</v>
      </c>
      <c r="C128" s="6"/>
      <c r="D128" s="14" t="s">
        <v>51</v>
      </c>
    </row>
    <row r="129">
      <c r="B129" s="6"/>
      <c r="C129" s="6"/>
      <c r="D129" s="6"/>
    </row>
    <row r="130">
      <c r="B130" s="114" t="s">
        <v>208</v>
      </c>
    </row>
    <row r="131">
      <c r="A131" s="105" t="s">
        <v>209</v>
      </c>
    </row>
    <row r="132">
      <c r="A132" s="106"/>
      <c r="B132" s="106"/>
      <c r="C132" s="106"/>
      <c r="D132" s="106"/>
      <c r="E132" s="106"/>
      <c r="F132" s="106"/>
    </row>
    <row r="133">
      <c r="A133" s="5"/>
      <c r="B133" s="5"/>
      <c r="C133" s="5"/>
      <c r="D133" s="6"/>
      <c r="E133" s="6"/>
      <c r="F133" s="6"/>
    </row>
    <row r="134">
      <c r="A134" s="33" t="s">
        <v>210</v>
      </c>
      <c r="B134" s="80"/>
      <c r="C134" s="82"/>
      <c r="D134" s="34" t="s">
        <v>211</v>
      </c>
      <c r="E134" s="80"/>
      <c r="F134" s="82"/>
    </row>
    <row r="135">
      <c r="A135" s="115" t="s">
        <v>212</v>
      </c>
      <c r="B135" s="6"/>
      <c r="C135" s="85"/>
      <c r="D135" s="9" t="s">
        <v>213</v>
      </c>
      <c r="E135" s="6"/>
      <c r="F135" s="85"/>
    </row>
    <row r="136">
      <c r="A136" s="116" t="s">
        <v>157</v>
      </c>
      <c r="B136" s="117"/>
      <c r="C136" s="85"/>
      <c r="D136" s="13" t="s">
        <v>214</v>
      </c>
      <c r="E136" s="117"/>
      <c r="F136" s="85"/>
    </row>
    <row r="137">
      <c r="A137" s="116" t="s">
        <v>215</v>
      </c>
      <c r="B137" s="117"/>
      <c r="C137" s="85"/>
      <c r="D137" s="13" t="s">
        <v>216</v>
      </c>
      <c r="E137" s="118"/>
      <c r="F137" s="85"/>
    </row>
    <row r="138">
      <c r="A138" s="116" t="s">
        <v>217</v>
      </c>
      <c r="B138" s="117"/>
      <c r="C138" s="85"/>
      <c r="D138" s="13" t="s">
        <v>218</v>
      </c>
      <c r="E138" s="118"/>
      <c r="F138" s="85"/>
    </row>
    <row r="139">
      <c r="A139" s="116" t="s">
        <v>219</v>
      </c>
      <c r="B139" s="117"/>
      <c r="C139" s="85"/>
      <c r="D139" s="13" t="s">
        <v>220</v>
      </c>
      <c r="E139" s="118"/>
      <c r="F139" s="85"/>
    </row>
    <row r="140">
      <c r="A140" s="116" t="s">
        <v>221</v>
      </c>
      <c r="B140" s="117"/>
      <c r="C140" s="85"/>
      <c r="D140" s="13" t="s">
        <v>222</v>
      </c>
      <c r="F140" s="85"/>
    </row>
    <row r="141">
      <c r="A141" s="116" t="s">
        <v>223</v>
      </c>
      <c r="B141" s="117"/>
      <c r="C141" s="85"/>
      <c r="D141" s="6"/>
      <c r="E141" s="118"/>
      <c r="F141" s="85"/>
    </row>
    <row r="142">
      <c r="A142" s="116" t="s">
        <v>224</v>
      </c>
      <c r="B142" s="117"/>
      <c r="C142" s="85"/>
      <c r="D142" s="6"/>
      <c r="E142" s="118"/>
      <c r="F142" s="85"/>
    </row>
    <row r="143">
      <c r="A143" s="116" t="s">
        <v>225</v>
      </c>
      <c r="B143" s="117"/>
      <c r="C143" s="85"/>
      <c r="D143" s="6"/>
      <c r="E143" s="118"/>
      <c r="F143" s="85"/>
    </row>
    <row r="144">
      <c r="A144" s="116" t="s">
        <v>226</v>
      </c>
      <c r="B144" s="117"/>
      <c r="C144" s="85"/>
      <c r="D144" s="6"/>
      <c r="E144" s="118"/>
      <c r="F144" s="85"/>
    </row>
    <row r="145">
      <c r="A145" s="116" t="s">
        <v>227</v>
      </c>
      <c r="B145" s="117"/>
      <c r="C145" s="85"/>
      <c r="D145" s="6"/>
      <c r="E145" s="118"/>
      <c r="F145" s="85"/>
    </row>
    <row r="146">
      <c r="A146" s="116" t="s">
        <v>228</v>
      </c>
      <c r="B146" s="117"/>
      <c r="C146" s="85"/>
      <c r="D146" s="6"/>
      <c r="E146" s="118"/>
      <c r="F146" s="85"/>
    </row>
    <row r="147">
      <c r="A147" s="116" t="s">
        <v>229</v>
      </c>
      <c r="B147" s="117"/>
      <c r="C147" s="85"/>
      <c r="D147" s="6"/>
      <c r="E147" s="118"/>
      <c r="F147" s="85"/>
    </row>
    <row r="148">
      <c r="A148" s="116" t="s">
        <v>230</v>
      </c>
      <c r="B148" s="117"/>
      <c r="C148" s="85"/>
      <c r="D148" s="6"/>
      <c r="E148" s="118"/>
      <c r="F148" s="85"/>
    </row>
    <row r="149">
      <c r="A149" s="116" t="s">
        <v>231</v>
      </c>
      <c r="B149" s="117"/>
      <c r="C149" s="85"/>
      <c r="D149" s="6"/>
      <c r="E149" s="118"/>
      <c r="F149" s="85"/>
    </row>
    <row r="150">
      <c r="A150" s="116" t="s">
        <v>232</v>
      </c>
      <c r="B150" s="117"/>
      <c r="C150" s="85"/>
      <c r="D150" s="6"/>
      <c r="E150" s="118"/>
      <c r="F150" s="85"/>
    </row>
    <row r="151">
      <c r="A151" s="116" t="s">
        <v>233</v>
      </c>
      <c r="B151" s="117"/>
      <c r="C151" s="85"/>
      <c r="D151" s="6"/>
      <c r="E151" s="118"/>
      <c r="F151" s="85"/>
    </row>
    <row r="152">
      <c r="A152" s="116" t="s">
        <v>234</v>
      </c>
      <c r="B152" s="117"/>
      <c r="C152" s="85"/>
      <c r="D152" s="6"/>
      <c r="E152" s="118"/>
      <c r="F152" s="85"/>
    </row>
    <row r="153">
      <c r="A153" s="116" t="s">
        <v>235</v>
      </c>
      <c r="B153" s="117"/>
      <c r="C153" s="85"/>
      <c r="D153" s="6"/>
      <c r="E153" s="118"/>
      <c r="F153" s="85"/>
    </row>
    <row r="154">
      <c r="A154" s="116" t="s">
        <v>236</v>
      </c>
      <c r="B154" s="117"/>
      <c r="C154" s="85"/>
      <c r="D154" s="6"/>
      <c r="E154" s="118"/>
      <c r="F154" s="85"/>
    </row>
    <row r="155">
      <c r="A155" s="116" t="s">
        <v>237</v>
      </c>
      <c r="B155" s="117"/>
      <c r="C155" s="85"/>
      <c r="D155" s="6"/>
      <c r="E155" s="118"/>
      <c r="F155" s="85"/>
    </row>
    <row r="156">
      <c r="A156" s="116" t="s">
        <v>238</v>
      </c>
      <c r="B156" s="117"/>
      <c r="C156" s="85"/>
      <c r="D156" s="6"/>
      <c r="E156" s="118"/>
      <c r="F156" s="85"/>
    </row>
    <row r="157">
      <c r="A157" s="116" t="s">
        <v>239</v>
      </c>
      <c r="B157" s="117"/>
      <c r="C157" s="85"/>
      <c r="D157" s="6"/>
      <c r="E157" s="118"/>
      <c r="F157" s="85"/>
    </row>
    <row r="158">
      <c r="A158" s="116" t="s">
        <v>240</v>
      </c>
      <c r="B158" s="117"/>
      <c r="C158" s="85"/>
      <c r="D158" s="6"/>
      <c r="E158" s="118"/>
      <c r="F158" s="85"/>
    </row>
    <row r="159">
      <c r="A159" s="116" t="s">
        <v>241</v>
      </c>
      <c r="B159" s="117"/>
      <c r="C159" s="85"/>
      <c r="D159" s="6"/>
      <c r="E159" s="118"/>
      <c r="F159" s="85"/>
    </row>
    <row r="160">
      <c r="A160" s="116" t="s">
        <v>242</v>
      </c>
      <c r="B160" s="117"/>
      <c r="C160" s="85"/>
      <c r="D160" s="6"/>
      <c r="E160" s="118"/>
      <c r="F160" s="85"/>
    </row>
    <row r="161">
      <c r="A161" s="116" t="s">
        <v>243</v>
      </c>
      <c r="B161" s="117"/>
      <c r="C161" s="85"/>
      <c r="D161" s="13" t="s">
        <v>244</v>
      </c>
      <c r="E161" s="117"/>
      <c r="F161" s="85"/>
    </row>
    <row r="162">
      <c r="A162" s="116" t="s">
        <v>245</v>
      </c>
      <c r="B162" s="117"/>
      <c r="C162" s="85"/>
      <c r="D162" s="13" t="s">
        <v>246</v>
      </c>
      <c r="E162" s="117"/>
      <c r="F162" s="85"/>
    </row>
    <row r="163">
      <c r="A163" s="116" t="s">
        <v>247</v>
      </c>
      <c r="B163" s="117"/>
      <c r="C163" s="85"/>
      <c r="D163" s="6"/>
      <c r="E163" s="6"/>
      <c r="F163" s="85"/>
    </row>
    <row r="164">
      <c r="A164" s="116" t="s">
        <v>248</v>
      </c>
      <c r="B164" s="117"/>
      <c r="C164" s="85"/>
      <c r="D164" s="6"/>
      <c r="E164" s="117"/>
      <c r="F164" s="85"/>
    </row>
    <row r="165">
      <c r="A165" s="116" t="s">
        <v>249</v>
      </c>
      <c r="B165" s="117"/>
      <c r="C165" s="85"/>
      <c r="D165" s="6"/>
      <c r="E165" s="117"/>
      <c r="F165" s="85"/>
    </row>
    <row r="166">
      <c r="A166" s="116" t="s">
        <v>250</v>
      </c>
      <c r="B166" s="117"/>
      <c r="C166" s="85"/>
      <c r="D166" s="13" t="s">
        <v>251</v>
      </c>
      <c r="E166" s="117"/>
      <c r="F166" s="85"/>
    </row>
    <row r="167">
      <c r="A167" s="116" t="s">
        <v>252</v>
      </c>
      <c r="B167" s="117"/>
      <c r="C167" s="85"/>
      <c r="D167" s="6"/>
      <c r="E167" s="117"/>
      <c r="F167" s="85"/>
    </row>
    <row r="168">
      <c r="A168" s="116" t="s">
        <v>253</v>
      </c>
      <c r="B168" s="117"/>
      <c r="C168" s="85"/>
      <c r="D168" s="10"/>
      <c r="E168" s="10"/>
      <c r="F168" s="119"/>
    </row>
    <row r="169">
      <c r="A169" s="116" t="s">
        <v>254</v>
      </c>
      <c r="B169" s="117"/>
      <c r="C169" s="85"/>
      <c r="D169" s="10"/>
      <c r="E169" s="10"/>
      <c r="F169" s="119"/>
    </row>
    <row r="170">
      <c r="A170" s="115" t="s">
        <v>255</v>
      </c>
      <c r="B170" s="10"/>
      <c r="C170" s="85"/>
      <c r="D170" s="14" t="s">
        <v>256</v>
      </c>
      <c r="E170" s="10"/>
      <c r="F170" s="119"/>
    </row>
    <row r="171">
      <c r="A171" s="120"/>
      <c r="B171" s="6"/>
      <c r="C171" s="89" t="s">
        <v>51</v>
      </c>
      <c r="D171" s="14" t="s">
        <v>257</v>
      </c>
      <c r="E171" s="6"/>
      <c r="F171" s="85"/>
    </row>
    <row r="172">
      <c r="A172" s="121"/>
      <c r="B172" s="10"/>
      <c r="C172" s="122"/>
      <c r="D172" s="13" t="s">
        <v>258</v>
      </c>
      <c r="E172" s="10"/>
      <c r="F172" s="85"/>
    </row>
    <row r="173">
      <c r="A173" s="115" t="s">
        <v>259</v>
      </c>
      <c r="B173" s="6"/>
      <c r="C173" s="85"/>
      <c r="D173" s="10"/>
      <c r="E173" s="10"/>
      <c r="F173" s="122"/>
    </row>
    <row r="174">
      <c r="A174" s="116" t="s">
        <v>260</v>
      </c>
      <c r="B174" s="117"/>
      <c r="C174" s="85"/>
      <c r="D174" s="6"/>
      <c r="E174" s="118"/>
      <c r="F174" s="85"/>
    </row>
    <row r="175">
      <c r="A175" s="116" t="s">
        <v>261</v>
      </c>
      <c r="B175" s="117"/>
      <c r="C175" s="85"/>
      <c r="D175" s="14" t="s">
        <v>262</v>
      </c>
      <c r="E175" s="10"/>
      <c r="F175" s="85"/>
    </row>
    <row r="176">
      <c r="A176" s="116" t="s">
        <v>263</v>
      </c>
      <c r="B176" s="117"/>
      <c r="C176" s="85"/>
      <c r="D176" s="14" t="s">
        <v>264</v>
      </c>
      <c r="E176" s="10"/>
      <c r="F176" s="85"/>
    </row>
    <row r="177">
      <c r="A177" s="116" t="s">
        <v>265</v>
      </c>
      <c r="B177" s="117"/>
      <c r="C177" s="85"/>
      <c r="D177" s="10"/>
      <c r="E177" s="10"/>
      <c r="F177" s="85"/>
    </row>
    <row r="178">
      <c r="A178" s="116" t="s">
        <v>266</v>
      </c>
      <c r="B178" s="117"/>
      <c r="C178" s="85"/>
      <c r="D178" s="10"/>
      <c r="E178" s="10"/>
      <c r="F178" s="85"/>
    </row>
    <row r="179">
      <c r="A179" s="116" t="s">
        <v>267</v>
      </c>
      <c r="B179" s="117"/>
      <c r="C179" s="85"/>
      <c r="D179" s="6"/>
      <c r="E179" s="6"/>
      <c r="F179" s="122"/>
    </row>
    <row r="180">
      <c r="A180" s="115" t="s">
        <v>268</v>
      </c>
      <c r="B180" s="10"/>
      <c r="C180" s="123"/>
      <c r="D180" s="6"/>
      <c r="E180" s="6"/>
      <c r="F180" s="124"/>
    </row>
    <row r="181">
      <c r="A181" s="115" t="s">
        <v>269</v>
      </c>
      <c r="B181" s="10"/>
      <c r="C181" s="89" t="s">
        <v>51</v>
      </c>
      <c r="D181" s="14" t="s">
        <v>270</v>
      </c>
      <c r="E181" s="118"/>
      <c r="F181" s="89" t="s">
        <v>51</v>
      </c>
    </row>
    <row r="182">
      <c r="A182" s="125"/>
      <c r="B182" s="54"/>
      <c r="C182" s="124"/>
      <c r="D182" s="126"/>
      <c r="E182" s="126"/>
      <c r="F182" s="127"/>
    </row>
  </sheetData>
  <mergeCells count="41">
    <mergeCell ref="B25:C25"/>
    <mergeCell ref="B28:C28"/>
    <mergeCell ref="B29:C29"/>
    <mergeCell ref="B33:C33"/>
    <mergeCell ref="B35:C35"/>
    <mergeCell ref="B5:C5"/>
    <mergeCell ref="B21:D21"/>
    <mergeCell ref="B22:E22"/>
    <mergeCell ref="B23:F23"/>
    <mergeCell ref="B24:E24"/>
    <mergeCell ref="B26:K26"/>
    <mergeCell ref="B27:K27"/>
    <mergeCell ref="B30:J30"/>
    <mergeCell ref="B31:E31"/>
    <mergeCell ref="B32:L32"/>
    <mergeCell ref="B34:L34"/>
    <mergeCell ref="D36:H36"/>
    <mergeCell ref="D37:E37"/>
    <mergeCell ref="D38:E38"/>
    <mergeCell ref="D39:E39"/>
    <mergeCell ref="D41:E41"/>
    <mergeCell ref="D44:E44"/>
    <mergeCell ref="D45:E45"/>
    <mergeCell ref="B47:F47"/>
    <mergeCell ref="B48:G48"/>
    <mergeCell ref="B49:F49"/>
    <mergeCell ref="B65:C65"/>
    <mergeCell ref="D65:E65"/>
    <mergeCell ref="F65:G65"/>
    <mergeCell ref="H65:I65"/>
    <mergeCell ref="J65:K65"/>
    <mergeCell ref="B70:D70"/>
    <mergeCell ref="A131:F131"/>
    <mergeCell ref="D140:E140"/>
    <mergeCell ref="B50:G50"/>
    <mergeCell ref="B51:H51"/>
    <mergeCell ref="B52:C52"/>
    <mergeCell ref="B53:D53"/>
    <mergeCell ref="B54:D54"/>
    <mergeCell ref="B59:H59"/>
    <mergeCell ref="B60:H6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9" max="9" width="20.75"/>
  </cols>
  <sheetData>
    <row r="1">
      <c r="A1" s="128"/>
      <c r="B1" s="129" t="s">
        <v>26</v>
      </c>
      <c r="J1" s="128"/>
      <c r="K1" s="128"/>
      <c r="L1" s="128"/>
      <c r="M1" s="128"/>
      <c r="N1" s="128"/>
      <c r="O1" s="128"/>
      <c r="P1" s="128"/>
      <c r="Q1" s="128"/>
      <c r="R1" s="128"/>
    </row>
    <row r="2">
      <c r="A2" s="128"/>
      <c r="B2" s="130"/>
      <c r="C2" s="130"/>
      <c r="D2" s="130"/>
      <c r="E2" s="130"/>
      <c r="F2" s="130"/>
      <c r="G2" s="130"/>
      <c r="H2" s="130"/>
      <c r="I2" s="130"/>
      <c r="J2" s="128"/>
      <c r="K2" s="128"/>
      <c r="L2" s="128"/>
      <c r="M2" s="128"/>
      <c r="N2" s="128"/>
      <c r="O2" s="128"/>
      <c r="P2" s="128"/>
      <c r="Q2" s="128"/>
      <c r="R2" s="128"/>
    </row>
    <row r="3">
      <c r="A3" s="128"/>
      <c r="B3" s="131" t="s">
        <v>271</v>
      </c>
      <c r="C3" s="132"/>
      <c r="D3" s="133"/>
      <c r="E3" s="133"/>
      <c r="F3" s="133"/>
      <c r="G3" s="133"/>
      <c r="H3" s="133"/>
      <c r="I3" s="133"/>
      <c r="J3" s="128"/>
      <c r="K3" s="128"/>
      <c r="L3" s="128"/>
      <c r="M3" s="128"/>
      <c r="N3" s="128"/>
      <c r="O3" s="128"/>
      <c r="P3" s="128"/>
      <c r="Q3" s="128"/>
      <c r="R3" s="128"/>
    </row>
    <row r="4">
      <c r="A4" s="128"/>
      <c r="B4" s="134" t="s">
        <v>272</v>
      </c>
      <c r="C4" s="132"/>
      <c r="D4" s="133"/>
      <c r="E4" s="133"/>
      <c r="F4" s="133"/>
      <c r="G4" s="133"/>
      <c r="H4" s="133"/>
      <c r="I4" s="133"/>
      <c r="J4" s="128"/>
      <c r="K4" s="128"/>
      <c r="L4" s="128"/>
      <c r="M4" s="128"/>
      <c r="N4" s="128"/>
      <c r="O4" s="128"/>
      <c r="P4" s="128"/>
      <c r="Q4" s="128"/>
      <c r="R4" s="128"/>
    </row>
    <row r="5">
      <c r="A5" s="128"/>
      <c r="B5" s="135" t="s">
        <v>273</v>
      </c>
      <c r="C5" s="132"/>
      <c r="D5" s="133"/>
      <c r="E5" s="133"/>
      <c r="F5" s="133"/>
      <c r="G5" s="133"/>
      <c r="H5" s="133"/>
      <c r="I5" s="133"/>
      <c r="J5" s="128"/>
      <c r="K5" s="128"/>
      <c r="L5" s="128"/>
      <c r="M5" s="128"/>
      <c r="N5" s="128"/>
      <c r="O5" s="128"/>
      <c r="P5" s="128"/>
      <c r="Q5" s="128"/>
      <c r="R5" s="128"/>
    </row>
    <row r="6">
      <c r="A6" s="128"/>
      <c r="B6" s="135" t="s">
        <v>274</v>
      </c>
      <c r="C6" s="132"/>
      <c r="D6" s="133"/>
      <c r="E6" s="133"/>
      <c r="F6" s="133"/>
      <c r="G6" s="133"/>
      <c r="H6" s="133"/>
      <c r="I6" s="133"/>
      <c r="J6" s="128"/>
      <c r="K6" s="128"/>
      <c r="L6" s="128"/>
      <c r="M6" s="128"/>
      <c r="N6" s="128"/>
      <c r="O6" s="128"/>
      <c r="P6" s="128"/>
      <c r="Q6" s="128"/>
      <c r="R6" s="128"/>
    </row>
    <row r="7">
      <c r="A7" s="128"/>
      <c r="B7" s="136"/>
      <c r="C7" s="136"/>
      <c r="D7" s="136"/>
      <c r="E7" s="133"/>
      <c r="F7" s="133"/>
      <c r="G7" s="133"/>
      <c r="H7" s="133"/>
      <c r="I7" s="133"/>
      <c r="J7" s="128"/>
      <c r="K7" s="128"/>
      <c r="L7" s="128"/>
      <c r="M7" s="128"/>
      <c r="N7" s="128"/>
      <c r="O7" s="128"/>
      <c r="P7" s="128"/>
      <c r="Q7" s="128"/>
      <c r="R7" s="128"/>
    </row>
    <row r="8">
      <c r="A8" s="128"/>
      <c r="B8" s="137" t="s">
        <v>275</v>
      </c>
      <c r="C8" s="138" t="s">
        <v>276</v>
      </c>
      <c r="D8" s="46"/>
      <c r="E8" s="137" t="s">
        <v>277</v>
      </c>
      <c r="F8" s="137" t="s">
        <v>278</v>
      </c>
      <c r="G8" s="137" t="s">
        <v>279</v>
      </c>
      <c r="H8" s="137" t="s">
        <v>280</v>
      </c>
      <c r="I8" s="137" t="s">
        <v>281</v>
      </c>
      <c r="J8" s="128"/>
      <c r="K8" s="128"/>
      <c r="L8" s="128"/>
      <c r="M8" s="128"/>
      <c r="N8" s="128"/>
      <c r="O8" s="128"/>
      <c r="P8" s="128"/>
      <c r="Q8" s="128"/>
      <c r="R8" s="128"/>
    </row>
    <row r="9">
      <c r="A9" s="128"/>
      <c r="B9" s="139"/>
      <c r="C9" s="140" t="s">
        <v>282</v>
      </c>
      <c r="D9" s="141" t="s">
        <v>283</v>
      </c>
      <c r="E9" s="142"/>
      <c r="F9" s="142"/>
      <c r="G9" s="142"/>
      <c r="H9" s="142"/>
      <c r="I9" s="142"/>
      <c r="J9" s="128"/>
      <c r="K9" s="128"/>
      <c r="L9" s="128"/>
      <c r="M9" s="128"/>
      <c r="N9" s="128"/>
      <c r="O9" s="128"/>
      <c r="P9" s="128"/>
      <c r="Q9" s="128"/>
      <c r="R9" s="128"/>
    </row>
    <row r="10">
      <c r="A10" s="128"/>
      <c r="B10" s="143" t="s">
        <v>284</v>
      </c>
      <c r="C10" s="144"/>
      <c r="D10" s="144"/>
      <c r="E10" s="144"/>
      <c r="F10" s="144"/>
      <c r="G10" s="144"/>
      <c r="H10" s="144"/>
      <c r="I10" s="145"/>
      <c r="J10" s="128"/>
      <c r="K10" s="128"/>
      <c r="L10" s="128"/>
      <c r="M10" s="128"/>
      <c r="N10" s="128"/>
      <c r="O10" s="128"/>
      <c r="P10" s="128"/>
      <c r="Q10" s="128"/>
      <c r="R10" s="128"/>
    </row>
    <row r="11">
      <c r="A11" s="146"/>
      <c r="B11" s="147" t="s">
        <v>285</v>
      </c>
      <c r="C11" s="148">
        <v>46116.0</v>
      </c>
      <c r="D11" s="149">
        <v>46173.0</v>
      </c>
      <c r="E11" s="150">
        <f t="shared" ref="E11:E118" si="1">D11-C11</f>
        <v>57</v>
      </c>
      <c r="F11" s="150">
        <v>30.0</v>
      </c>
      <c r="G11" s="150">
        <v>200.0</v>
      </c>
      <c r="H11" s="151">
        <v>10560.0</v>
      </c>
      <c r="I11" s="152">
        <f t="shared" ref="I11:I118" si="2">E11*G11*H11/F11</f>
        <v>4012800</v>
      </c>
      <c r="J11" s="146"/>
      <c r="K11" s="146"/>
      <c r="L11" s="146"/>
      <c r="M11" s="146"/>
      <c r="N11" s="146"/>
      <c r="O11" s="146"/>
      <c r="P11" s="146"/>
      <c r="Q11" s="146"/>
      <c r="R11" s="146"/>
    </row>
    <row r="12">
      <c r="A12" s="146"/>
      <c r="B12" s="153"/>
      <c r="C12" s="148">
        <v>46117.0</v>
      </c>
      <c r="D12" s="148">
        <v>46173.0</v>
      </c>
      <c r="E12" s="150">
        <f t="shared" si="1"/>
        <v>56</v>
      </c>
      <c r="F12" s="150">
        <v>30.0</v>
      </c>
      <c r="G12" s="150">
        <v>400.0</v>
      </c>
      <c r="H12" s="151">
        <v>10560.0</v>
      </c>
      <c r="I12" s="152">
        <f t="shared" si="2"/>
        <v>7884800</v>
      </c>
      <c r="J12" s="146"/>
      <c r="K12" s="146"/>
      <c r="L12" s="146"/>
      <c r="M12" s="146"/>
      <c r="N12" s="146"/>
      <c r="O12" s="146"/>
      <c r="P12" s="146"/>
      <c r="Q12" s="146"/>
      <c r="R12" s="146"/>
    </row>
    <row r="13">
      <c r="A13" s="146"/>
      <c r="B13" s="153"/>
      <c r="C13" s="148">
        <v>46117.0</v>
      </c>
      <c r="D13" s="148">
        <v>46173.0</v>
      </c>
      <c r="E13" s="150">
        <f t="shared" si="1"/>
        <v>56</v>
      </c>
      <c r="F13" s="150">
        <v>30.0</v>
      </c>
      <c r="G13" s="154">
        <v>1250.0</v>
      </c>
      <c r="H13" s="151">
        <v>10560.0</v>
      </c>
      <c r="I13" s="152">
        <f t="shared" si="2"/>
        <v>24640000</v>
      </c>
      <c r="J13" s="146"/>
      <c r="K13" s="146"/>
      <c r="L13" s="146"/>
      <c r="M13" s="146"/>
      <c r="N13" s="146"/>
      <c r="O13" s="146"/>
      <c r="P13" s="146"/>
      <c r="Q13" s="146"/>
      <c r="R13" s="146"/>
    </row>
    <row r="14">
      <c r="A14" s="146"/>
      <c r="B14" s="153"/>
      <c r="C14" s="148">
        <v>46118.0</v>
      </c>
      <c r="D14" s="148">
        <v>46173.0</v>
      </c>
      <c r="E14" s="150">
        <f t="shared" si="1"/>
        <v>55</v>
      </c>
      <c r="F14" s="150">
        <v>30.0</v>
      </c>
      <c r="G14" s="154">
        <v>2100.0</v>
      </c>
      <c r="H14" s="151">
        <v>10560.0</v>
      </c>
      <c r="I14" s="152">
        <f t="shared" si="2"/>
        <v>40656000</v>
      </c>
      <c r="J14" s="146"/>
      <c r="K14" s="146"/>
      <c r="L14" s="146"/>
      <c r="M14" s="146"/>
      <c r="N14" s="146"/>
      <c r="O14" s="146"/>
      <c r="P14" s="146"/>
      <c r="Q14" s="146"/>
      <c r="R14" s="146"/>
    </row>
    <row r="15">
      <c r="A15" s="146"/>
      <c r="B15" s="153"/>
      <c r="C15" s="148">
        <v>46122.0</v>
      </c>
      <c r="D15" s="148">
        <v>46173.0</v>
      </c>
      <c r="E15" s="150">
        <f t="shared" si="1"/>
        <v>51</v>
      </c>
      <c r="F15" s="150">
        <v>30.0</v>
      </c>
      <c r="G15" s="150">
        <v>26.0</v>
      </c>
      <c r="H15" s="151">
        <v>10560.0</v>
      </c>
      <c r="I15" s="152">
        <f t="shared" si="2"/>
        <v>466752</v>
      </c>
      <c r="J15" s="146"/>
      <c r="K15" s="146"/>
      <c r="L15" s="146"/>
      <c r="M15" s="146"/>
      <c r="N15" s="146"/>
      <c r="O15" s="146"/>
      <c r="P15" s="146"/>
      <c r="Q15" s="146"/>
      <c r="R15" s="146"/>
    </row>
    <row r="16">
      <c r="A16" s="146"/>
      <c r="B16" s="153"/>
      <c r="C16" s="148">
        <v>46126.0</v>
      </c>
      <c r="D16" s="148">
        <v>46173.0</v>
      </c>
      <c r="E16" s="150">
        <f t="shared" si="1"/>
        <v>47</v>
      </c>
      <c r="F16" s="150">
        <v>30.0</v>
      </c>
      <c r="G16" s="150">
        <v>25.0</v>
      </c>
      <c r="H16" s="151">
        <v>10560.0</v>
      </c>
      <c r="I16" s="152">
        <f t="shared" si="2"/>
        <v>413600</v>
      </c>
      <c r="J16" s="146"/>
      <c r="K16" s="146"/>
      <c r="L16" s="146"/>
      <c r="M16" s="146"/>
      <c r="N16" s="146"/>
      <c r="O16" s="146"/>
      <c r="P16" s="146"/>
      <c r="Q16" s="146"/>
      <c r="R16" s="146"/>
    </row>
    <row r="17">
      <c r="A17" s="146"/>
      <c r="B17" s="153"/>
      <c r="C17" s="148">
        <v>46130.0</v>
      </c>
      <c r="D17" s="148">
        <v>46173.0</v>
      </c>
      <c r="E17" s="150">
        <f t="shared" si="1"/>
        <v>43</v>
      </c>
      <c r="F17" s="150">
        <v>30.0</v>
      </c>
      <c r="G17" s="150">
        <v>24.0</v>
      </c>
      <c r="H17" s="151">
        <v>10560.0</v>
      </c>
      <c r="I17" s="152">
        <f t="shared" si="2"/>
        <v>363264</v>
      </c>
      <c r="J17" s="146"/>
      <c r="K17" s="146"/>
      <c r="L17" s="146"/>
      <c r="M17" s="146"/>
      <c r="N17" s="146"/>
      <c r="O17" s="146"/>
      <c r="P17" s="146"/>
      <c r="Q17" s="146"/>
      <c r="R17" s="146"/>
    </row>
    <row r="18">
      <c r="A18" s="146"/>
      <c r="B18" s="153"/>
      <c r="C18" s="148">
        <v>46131.0</v>
      </c>
      <c r="D18" s="148">
        <v>46173.0</v>
      </c>
      <c r="E18" s="150">
        <f t="shared" si="1"/>
        <v>42</v>
      </c>
      <c r="F18" s="150">
        <v>30.0</v>
      </c>
      <c r="G18" s="150">
        <v>25.0</v>
      </c>
      <c r="H18" s="151">
        <v>10560.0</v>
      </c>
      <c r="I18" s="152">
        <f t="shared" si="2"/>
        <v>369600</v>
      </c>
      <c r="J18" s="146"/>
      <c r="K18" s="146"/>
      <c r="L18" s="146"/>
      <c r="M18" s="146"/>
      <c r="N18" s="146"/>
      <c r="O18" s="146"/>
      <c r="P18" s="146"/>
      <c r="Q18" s="146"/>
      <c r="R18" s="146"/>
    </row>
    <row r="19">
      <c r="A19" s="146"/>
      <c r="B19" s="155"/>
      <c r="C19" s="148">
        <v>46132.0</v>
      </c>
      <c r="D19" s="149">
        <v>46173.0</v>
      </c>
      <c r="E19" s="150">
        <f t="shared" si="1"/>
        <v>41</v>
      </c>
      <c r="F19" s="150">
        <v>30.0</v>
      </c>
      <c r="G19" s="150">
        <v>25.0</v>
      </c>
      <c r="H19" s="151">
        <v>10560.0</v>
      </c>
      <c r="I19" s="152">
        <f t="shared" si="2"/>
        <v>360800</v>
      </c>
      <c r="J19" s="146"/>
      <c r="K19" s="146"/>
      <c r="L19" s="146"/>
      <c r="M19" s="146"/>
      <c r="N19" s="146"/>
      <c r="O19" s="146"/>
      <c r="P19" s="146"/>
      <c r="Q19" s="146"/>
      <c r="R19" s="146"/>
    </row>
    <row r="20">
      <c r="A20" s="146"/>
      <c r="B20" s="155"/>
      <c r="C20" s="148">
        <v>46135.0</v>
      </c>
      <c r="D20" s="149">
        <v>46173.0</v>
      </c>
      <c r="E20" s="150">
        <f t="shared" si="1"/>
        <v>38</v>
      </c>
      <c r="F20" s="150">
        <v>30.0</v>
      </c>
      <c r="G20" s="150">
        <v>20.0</v>
      </c>
      <c r="H20" s="151">
        <v>10560.0</v>
      </c>
      <c r="I20" s="152">
        <f t="shared" si="2"/>
        <v>267520</v>
      </c>
      <c r="J20" s="146"/>
      <c r="K20" s="146"/>
      <c r="L20" s="146"/>
      <c r="M20" s="146"/>
      <c r="N20" s="146"/>
      <c r="O20" s="146"/>
      <c r="P20" s="146"/>
      <c r="Q20" s="146"/>
      <c r="R20" s="146"/>
    </row>
    <row r="21">
      <c r="A21" s="146"/>
      <c r="B21" s="155"/>
      <c r="C21" s="148">
        <v>46136.0</v>
      </c>
      <c r="D21" s="149">
        <v>46173.0</v>
      </c>
      <c r="E21" s="150">
        <f t="shared" si="1"/>
        <v>37</v>
      </c>
      <c r="F21" s="150">
        <v>30.0</v>
      </c>
      <c r="G21" s="150">
        <v>25.0</v>
      </c>
      <c r="H21" s="151">
        <v>10560.0</v>
      </c>
      <c r="I21" s="152">
        <f t="shared" si="2"/>
        <v>325600</v>
      </c>
      <c r="J21" s="146"/>
      <c r="K21" s="146"/>
      <c r="L21" s="146"/>
      <c r="M21" s="146"/>
      <c r="N21" s="146"/>
      <c r="O21" s="146"/>
      <c r="P21" s="146"/>
      <c r="Q21" s="146"/>
      <c r="R21" s="146"/>
    </row>
    <row r="22">
      <c r="A22" s="146"/>
      <c r="B22" s="156"/>
      <c r="C22" s="148">
        <v>46174.0</v>
      </c>
      <c r="D22" s="148">
        <v>46175.0</v>
      </c>
      <c r="E22" s="150">
        <f t="shared" si="1"/>
        <v>1</v>
      </c>
      <c r="F22" s="150">
        <v>30.0</v>
      </c>
      <c r="G22" s="157">
        <v>466.0</v>
      </c>
      <c r="H22" s="151">
        <v>10560.0</v>
      </c>
      <c r="I22" s="152">
        <f t="shared" si="2"/>
        <v>164032</v>
      </c>
      <c r="J22" s="146"/>
      <c r="K22" s="158"/>
      <c r="L22" s="146"/>
      <c r="M22" s="146"/>
      <c r="N22" s="146"/>
      <c r="O22" s="146"/>
      <c r="P22" s="146"/>
      <c r="Q22" s="146"/>
      <c r="R22" s="146"/>
    </row>
    <row r="23">
      <c r="A23" s="146"/>
      <c r="B23" s="155"/>
      <c r="C23" s="148">
        <v>46174.0</v>
      </c>
      <c r="D23" s="148">
        <v>46177.0</v>
      </c>
      <c r="E23" s="150">
        <f t="shared" si="1"/>
        <v>3</v>
      </c>
      <c r="F23" s="150">
        <v>30.0</v>
      </c>
      <c r="G23" s="157">
        <v>132.0</v>
      </c>
      <c r="H23" s="151">
        <v>10560.0</v>
      </c>
      <c r="I23" s="152">
        <f t="shared" si="2"/>
        <v>139392</v>
      </c>
      <c r="J23" s="146"/>
      <c r="K23" s="146"/>
      <c r="L23" s="146"/>
      <c r="M23" s="146"/>
      <c r="N23" s="146"/>
      <c r="O23" s="146"/>
      <c r="P23" s="146"/>
      <c r="Q23" s="146"/>
      <c r="R23" s="146"/>
    </row>
    <row r="24">
      <c r="A24" s="146"/>
      <c r="B24" s="155"/>
      <c r="C24" s="148">
        <v>46174.0</v>
      </c>
      <c r="D24" s="148">
        <v>46178.0</v>
      </c>
      <c r="E24" s="150">
        <f t="shared" si="1"/>
        <v>4</v>
      </c>
      <c r="F24" s="150">
        <v>30.0</v>
      </c>
      <c r="G24" s="157">
        <v>194.0</v>
      </c>
      <c r="H24" s="151">
        <v>10560.0</v>
      </c>
      <c r="I24" s="152">
        <f t="shared" si="2"/>
        <v>273152</v>
      </c>
      <c r="J24" s="146"/>
      <c r="K24" s="146"/>
      <c r="L24" s="146"/>
      <c r="M24" s="146"/>
      <c r="N24" s="146"/>
      <c r="O24" s="146"/>
      <c r="P24" s="146"/>
      <c r="Q24" s="146"/>
      <c r="R24" s="146"/>
    </row>
    <row r="25">
      <c r="A25" s="146"/>
      <c r="B25" s="155"/>
      <c r="C25" s="148">
        <v>46174.0</v>
      </c>
      <c r="D25" s="148">
        <v>46180.0</v>
      </c>
      <c r="E25" s="150">
        <f t="shared" si="1"/>
        <v>6</v>
      </c>
      <c r="F25" s="150">
        <v>30.0</v>
      </c>
      <c r="G25" s="157">
        <v>195.0</v>
      </c>
      <c r="H25" s="151">
        <v>10560.0</v>
      </c>
      <c r="I25" s="152">
        <f t="shared" si="2"/>
        <v>411840</v>
      </c>
      <c r="J25" s="146"/>
      <c r="K25" s="146"/>
      <c r="L25" s="146"/>
      <c r="M25" s="146"/>
      <c r="N25" s="146"/>
      <c r="O25" s="146"/>
      <c r="P25" s="146"/>
      <c r="Q25" s="146"/>
      <c r="R25" s="146"/>
    </row>
    <row r="26">
      <c r="A26" s="146"/>
      <c r="B26" s="155"/>
      <c r="C26" s="148">
        <v>46174.0</v>
      </c>
      <c r="D26" s="148">
        <v>46180.0</v>
      </c>
      <c r="E26" s="150">
        <f t="shared" si="1"/>
        <v>6</v>
      </c>
      <c r="F26" s="150">
        <v>30.0</v>
      </c>
      <c r="G26" s="157">
        <v>4.0</v>
      </c>
      <c r="H26" s="151">
        <v>10560.0</v>
      </c>
      <c r="I26" s="152">
        <f t="shared" si="2"/>
        <v>8448</v>
      </c>
      <c r="J26" s="146"/>
      <c r="K26" s="146"/>
      <c r="L26" s="146"/>
      <c r="M26" s="146"/>
      <c r="N26" s="146"/>
      <c r="O26" s="146"/>
      <c r="P26" s="146"/>
      <c r="Q26" s="146"/>
      <c r="R26" s="146"/>
    </row>
    <row r="27">
      <c r="A27" s="146"/>
      <c r="B27" s="155"/>
      <c r="C27" s="148">
        <v>46174.0</v>
      </c>
      <c r="D27" s="148">
        <v>46181.0</v>
      </c>
      <c r="E27" s="150">
        <f t="shared" si="1"/>
        <v>7</v>
      </c>
      <c r="F27" s="150">
        <v>30.0</v>
      </c>
      <c r="G27" s="157">
        <v>214.0</v>
      </c>
      <c r="H27" s="151">
        <v>10560.0</v>
      </c>
      <c r="I27" s="152">
        <f t="shared" si="2"/>
        <v>527296</v>
      </c>
      <c r="J27" s="146"/>
      <c r="K27" s="146"/>
      <c r="L27" s="146"/>
      <c r="M27" s="146"/>
      <c r="N27" s="146"/>
      <c r="O27" s="146"/>
      <c r="P27" s="146"/>
      <c r="Q27" s="146"/>
      <c r="R27" s="146"/>
    </row>
    <row r="28">
      <c r="A28" s="146"/>
      <c r="B28" s="155"/>
      <c r="C28" s="148">
        <v>46174.0</v>
      </c>
      <c r="D28" s="148">
        <v>46182.0</v>
      </c>
      <c r="E28" s="150">
        <f t="shared" si="1"/>
        <v>8</v>
      </c>
      <c r="F28" s="150">
        <v>30.0</v>
      </c>
      <c r="G28" s="157">
        <v>948.0</v>
      </c>
      <c r="H28" s="151">
        <v>10560.0</v>
      </c>
      <c r="I28" s="152">
        <f t="shared" si="2"/>
        <v>2669568</v>
      </c>
      <c r="J28" s="146"/>
      <c r="K28" s="146"/>
      <c r="L28" s="146"/>
      <c r="M28" s="146"/>
      <c r="N28" s="146"/>
      <c r="O28" s="146"/>
      <c r="P28" s="146"/>
      <c r="Q28" s="146"/>
      <c r="R28" s="146"/>
    </row>
    <row r="29">
      <c r="A29" s="146"/>
      <c r="B29" s="155"/>
      <c r="C29" s="148">
        <v>46174.0</v>
      </c>
      <c r="D29" s="148">
        <v>46182.0</v>
      </c>
      <c r="E29" s="150">
        <f t="shared" si="1"/>
        <v>8</v>
      </c>
      <c r="F29" s="150">
        <v>30.0</v>
      </c>
      <c r="G29" s="159">
        <v>1096.0</v>
      </c>
      <c r="H29" s="151">
        <v>10560.0</v>
      </c>
      <c r="I29" s="152">
        <f t="shared" si="2"/>
        <v>3086336</v>
      </c>
      <c r="J29" s="146"/>
      <c r="K29" s="146"/>
      <c r="L29" s="146"/>
      <c r="M29" s="146"/>
      <c r="N29" s="146"/>
      <c r="O29" s="146"/>
      <c r="P29" s="146"/>
      <c r="Q29" s="146"/>
      <c r="R29" s="146"/>
    </row>
    <row r="30">
      <c r="A30" s="146"/>
      <c r="B30" s="155"/>
      <c r="C30" s="148">
        <v>46174.0</v>
      </c>
      <c r="D30" s="148">
        <v>46184.0</v>
      </c>
      <c r="E30" s="150">
        <f t="shared" si="1"/>
        <v>10</v>
      </c>
      <c r="F30" s="150">
        <v>30.0</v>
      </c>
      <c r="G30" s="157">
        <v>650.0</v>
      </c>
      <c r="H30" s="151">
        <v>10560.0</v>
      </c>
      <c r="I30" s="152">
        <f t="shared" si="2"/>
        <v>2288000</v>
      </c>
      <c r="J30" s="146"/>
      <c r="K30" s="146"/>
      <c r="L30" s="146"/>
      <c r="M30" s="146"/>
      <c r="N30" s="146"/>
      <c r="O30" s="146"/>
      <c r="P30" s="146"/>
      <c r="Q30" s="146"/>
      <c r="R30" s="146"/>
    </row>
    <row r="31">
      <c r="A31" s="146"/>
      <c r="B31" s="155"/>
      <c r="C31" s="148">
        <v>46174.0</v>
      </c>
      <c r="D31" s="148">
        <v>46185.0</v>
      </c>
      <c r="E31" s="150">
        <f t="shared" si="1"/>
        <v>11</v>
      </c>
      <c r="F31" s="150">
        <v>30.0</v>
      </c>
      <c r="G31" s="157">
        <v>209.0</v>
      </c>
      <c r="H31" s="151">
        <v>10560.0</v>
      </c>
      <c r="I31" s="152">
        <f t="shared" si="2"/>
        <v>809248</v>
      </c>
      <c r="J31" s="146"/>
      <c r="K31" s="146"/>
      <c r="L31" s="146"/>
      <c r="M31" s="146"/>
      <c r="N31" s="146"/>
      <c r="O31" s="146"/>
      <c r="P31" s="146"/>
      <c r="Q31" s="146"/>
      <c r="R31" s="146"/>
    </row>
    <row r="32">
      <c r="A32" s="146"/>
      <c r="B32" s="155"/>
      <c r="C32" s="148">
        <v>46174.0</v>
      </c>
      <c r="D32" s="148">
        <v>46188.0</v>
      </c>
      <c r="E32" s="150">
        <f t="shared" si="1"/>
        <v>14</v>
      </c>
      <c r="F32" s="150">
        <v>30.0</v>
      </c>
      <c r="G32" s="157">
        <v>12.0</v>
      </c>
      <c r="H32" s="151">
        <v>10560.0</v>
      </c>
      <c r="I32" s="152">
        <f t="shared" si="2"/>
        <v>59136</v>
      </c>
      <c r="J32" s="146"/>
      <c r="K32" s="146"/>
      <c r="L32" s="146"/>
      <c r="M32" s="146"/>
      <c r="N32" s="146"/>
      <c r="O32" s="146"/>
      <c r="P32" s="146"/>
      <c r="Q32" s="146"/>
      <c r="R32" s="146"/>
    </row>
    <row r="33">
      <c r="A33" s="146"/>
      <c r="B33" s="160" t="s">
        <v>286</v>
      </c>
      <c r="C33" s="148">
        <v>46116.0</v>
      </c>
      <c r="D33" s="148">
        <v>46188.0</v>
      </c>
      <c r="E33" s="150">
        <f t="shared" si="1"/>
        <v>72</v>
      </c>
      <c r="F33" s="150">
        <v>30.0</v>
      </c>
      <c r="G33" s="159">
        <v>2500.0</v>
      </c>
      <c r="H33" s="159">
        <v>7900.0</v>
      </c>
      <c r="I33" s="152">
        <f t="shared" si="2"/>
        <v>47400000</v>
      </c>
      <c r="J33" s="146"/>
      <c r="K33" s="146"/>
      <c r="L33" s="146"/>
      <c r="M33" s="146"/>
      <c r="N33" s="146"/>
      <c r="O33" s="146"/>
      <c r="P33" s="146"/>
      <c r="Q33" s="146"/>
      <c r="R33" s="146"/>
    </row>
    <row r="34">
      <c r="A34" s="146"/>
      <c r="B34" s="155"/>
      <c r="C34" s="148">
        <v>46117.0</v>
      </c>
      <c r="D34" s="148">
        <v>46188.0</v>
      </c>
      <c r="E34" s="150">
        <f t="shared" si="1"/>
        <v>71</v>
      </c>
      <c r="F34" s="150">
        <v>30.0</v>
      </c>
      <c r="G34" s="157">
        <v>2.0</v>
      </c>
      <c r="H34" s="159">
        <v>7900.0</v>
      </c>
      <c r="I34" s="152">
        <f t="shared" si="2"/>
        <v>37393.33333</v>
      </c>
      <c r="J34" s="146"/>
      <c r="K34" s="146"/>
      <c r="L34" s="146"/>
      <c r="M34" s="146"/>
      <c r="N34" s="146"/>
      <c r="O34" s="146"/>
      <c r="P34" s="146"/>
      <c r="Q34" s="146"/>
      <c r="R34" s="146"/>
    </row>
    <row r="35">
      <c r="A35" s="146"/>
      <c r="B35" s="161"/>
      <c r="C35" s="148">
        <v>46117.0</v>
      </c>
      <c r="D35" s="148">
        <v>46188.0</v>
      </c>
      <c r="E35" s="150">
        <f t="shared" si="1"/>
        <v>71</v>
      </c>
      <c r="F35" s="150">
        <v>30.0</v>
      </c>
      <c r="G35" s="159">
        <v>1444.0</v>
      </c>
      <c r="H35" s="159">
        <v>7900.0</v>
      </c>
      <c r="I35" s="152">
        <f t="shared" si="2"/>
        <v>26997986.67</v>
      </c>
      <c r="J35" s="146"/>
      <c r="K35" s="146"/>
      <c r="L35" s="146"/>
      <c r="M35" s="146"/>
      <c r="N35" s="146"/>
      <c r="O35" s="146"/>
      <c r="P35" s="146"/>
      <c r="Q35" s="146"/>
      <c r="R35" s="146"/>
    </row>
    <row r="36">
      <c r="A36" s="146"/>
      <c r="B36" s="156"/>
      <c r="C36" s="148">
        <v>46174.0</v>
      </c>
      <c r="D36" s="148">
        <v>46175.0</v>
      </c>
      <c r="E36" s="150">
        <f t="shared" si="1"/>
        <v>1</v>
      </c>
      <c r="F36" s="150">
        <v>30.0</v>
      </c>
      <c r="G36" s="157">
        <v>598.0</v>
      </c>
      <c r="H36" s="159">
        <v>7900.0</v>
      </c>
      <c r="I36" s="152">
        <f t="shared" si="2"/>
        <v>157473.3333</v>
      </c>
      <c r="J36" s="146"/>
      <c r="K36" s="146"/>
      <c r="L36" s="146"/>
      <c r="M36" s="146"/>
      <c r="N36" s="146"/>
      <c r="O36" s="146"/>
      <c r="P36" s="146"/>
      <c r="Q36" s="146"/>
      <c r="R36" s="146"/>
    </row>
    <row r="37">
      <c r="A37" s="146"/>
      <c r="B37" s="155"/>
      <c r="C37" s="148">
        <v>46174.0</v>
      </c>
      <c r="D37" s="148">
        <v>46177.0</v>
      </c>
      <c r="E37" s="150">
        <f t="shared" si="1"/>
        <v>3</v>
      </c>
      <c r="F37" s="150">
        <v>30.0</v>
      </c>
      <c r="G37" s="157">
        <v>163.0</v>
      </c>
      <c r="H37" s="159">
        <v>7900.0</v>
      </c>
      <c r="I37" s="152">
        <f t="shared" si="2"/>
        <v>128770</v>
      </c>
      <c r="J37" s="146"/>
      <c r="K37" s="146"/>
      <c r="L37" s="146"/>
      <c r="M37" s="146"/>
      <c r="N37" s="146"/>
      <c r="O37" s="146"/>
      <c r="P37" s="146"/>
      <c r="Q37" s="146"/>
      <c r="R37" s="146"/>
    </row>
    <row r="38">
      <c r="A38" s="146"/>
      <c r="B38" s="155"/>
      <c r="C38" s="148">
        <v>46174.0</v>
      </c>
      <c r="D38" s="148">
        <v>46178.0</v>
      </c>
      <c r="E38" s="150">
        <f t="shared" si="1"/>
        <v>4</v>
      </c>
      <c r="F38" s="150">
        <v>30.0</v>
      </c>
      <c r="G38" s="157">
        <v>421.0</v>
      </c>
      <c r="H38" s="159">
        <v>7900.0</v>
      </c>
      <c r="I38" s="152">
        <f t="shared" si="2"/>
        <v>443453.3333</v>
      </c>
      <c r="J38" s="146"/>
      <c r="K38" s="146"/>
      <c r="L38" s="146"/>
      <c r="M38" s="146"/>
      <c r="N38" s="146"/>
      <c r="O38" s="146"/>
      <c r="P38" s="146"/>
      <c r="Q38" s="146"/>
      <c r="R38" s="146"/>
    </row>
    <row r="39">
      <c r="A39" s="146"/>
      <c r="B39" s="155"/>
      <c r="C39" s="148">
        <v>46174.0</v>
      </c>
      <c r="D39" s="148">
        <v>46180.0</v>
      </c>
      <c r="E39" s="150">
        <f t="shared" si="1"/>
        <v>6</v>
      </c>
      <c r="F39" s="150">
        <v>30.0</v>
      </c>
      <c r="G39" s="157">
        <v>410.0</v>
      </c>
      <c r="H39" s="159">
        <v>7900.0</v>
      </c>
      <c r="I39" s="152">
        <f t="shared" si="2"/>
        <v>647800</v>
      </c>
      <c r="J39" s="146"/>
      <c r="K39" s="146"/>
      <c r="L39" s="146"/>
      <c r="M39" s="146"/>
      <c r="N39" s="146"/>
      <c r="O39" s="146"/>
      <c r="P39" s="146"/>
      <c r="Q39" s="146"/>
      <c r="R39" s="146"/>
    </row>
    <row r="40">
      <c r="A40" s="146"/>
      <c r="B40" s="155"/>
      <c r="C40" s="148">
        <v>46174.0</v>
      </c>
      <c r="D40" s="148">
        <v>46180.0</v>
      </c>
      <c r="E40" s="150">
        <f t="shared" si="1"/>
        <v>6</v>
      </c>
      <c r="F40" s="150">
        <v>30.0</v>
      </c>
      <c r="G40" s="157">
        <v>376.0</v>
      </c>
      <c r="H40" s="159">
        <v>7900.0</v>
      </c>
      <c r="I40" s="152">
        <f t="shared" si="2"/>
        <v>594080</v>
      </c>
      <c r="J40" s="146"/>
      <c r="K40" s="146"/>
      <c r="L40" s="146"/>
      <c r="M40" s="146"/>
      <c r="N40" s="146"/>
      <c r="O40" s="146"/>
      <c r="P40" s="146"/>
      <c r="Q40" s="146"/>
      <c r="R40" s="146"/>
    </row>
    <row r="41">
      <c r="A41" s="146"/>
      <c r="B41" s="155"/>
      <c r="C41" s="148">
        <v>46174.0</v>
      </c>
      <c r="D41" s="148">
        <v>46181.0</v>
      </c>
      <c r="E41" s="150">
        <f t="shared" si="1"/>
        <v>7</v>
      </c>
      <c r="F41" s="150">
        <v>30.0</v>
      </c>
      <c r="G41" s="157">
        <v>597.0</v>
      </c>
      <c r="H41" s="159">
        <v>7900.0</v>
      </c>
      <c r="I41" s="152">
        <f t="shared" si="2"/>
        <v>1100470</v>
      </c>
      <c r="J41" s="146"/>
      <c r="K41" s="146"/>
      <c r="L41" s="146"/>
      <c r="M41" s="146"/>
      <c r="N41" s="146"/>
      <c r="O41" s="146"/>
      <c r="P41" s="146"/>
      <c r="Q41" s="146"/>
      <c r="R41" s="146"/>
    </row>
    <row r="42">
      <c r="A42" s="146"/>
      <c r="B42" s="155"/>
      <c r="C42" s="148">
        <v>46174.0</v>
      </c>
      <c r="D42" s="148">
        <v>46182.0</v>
      </c>
      <c r="E42" s="150">
        <f t="shared" si="1"/>
        <v>8</v>
      </c>
      <c r="F42" s="150">
        <v>30.0</v>
      </c>
      <c r="G42" s="157">
        <v>92.0</v>
      </c>
      <c r="H42" s="159">
        <v>7900.0</v>
      </c>
      <c r="I42" s="152">
        <f t="shared" si="2"/>
        <v>193813.3333</v>
      </c>
      <c r="J42" s="146"/>
      <c r="K42" s="146"/>
      <c r="L42" s="146"/>
      <c r="M42" s="146"/>
      <c r="N42" s="146"/>
      <c r="O42" s="146"/>
      <c r="P42" s="146"/>
      <c r="Q42" s="146"/>
      <c r="R42" s="146"/>
    </row>
    <row r="43">
      <c r="A43" s="146"/>
      <c r="B43" s="155"/>
      <c r="C43" s="148">
        <v>46174.0</v>
      </c>
      <c r="D43" s="148">
        <v>46182.0</v>
      </c>
      <c r="E43" s="150">
        <f t="shared" si="1"/>
        <v>8</v>
      </c>
      <c r="F43" s="150">
        <v>30.0</v>
      </c>
      <c r="G43" s="157">
        <v>328.0</v>
      </c>
      <c r="H43" s="159">
        <v>7900.0</v>
      </c>
      <c r="I43" s="152">
        <f t="shared" si="2"/>
        <v>690986.6667</v>
      </c>
      <c r="J43" s="146"/>
      <c r="K43" s="146"/>
      <c r="L43" s="146"/>
      <c r="M43" s="146"/>
      <c r="N43" s="146"/>
      <c r="O43" s="146"/>
      <c r="P43" s="146"/>
      <c r="Q43" s="146"/>
      <c r="R43" s="146"/>
    </row>
    <row r="44">
      <c r="A44" s="146"/>
      <c r="B44" s="155"/>
      <c r="C44" s="148">
        <v>46174.0</v>
      </c>
      <c r="D44" s="148">
        <v>46183.0</v>
      </c>
      <c r="E44" s="150">
        <f t="shared" si="1"/>
        <v>9</v>
      </c>
      <c r="F44" s="150">
        <v>30.0</v>
      </c>
      <c r="G44" s="157">
        <v>228.0</v>
      </c>
      <c r="H44" s="159">
        <v>7900.0</v>
      </c>
      <c r="I44" s="152">
        <f t="shared" si="2"/>
        <v>540360</v>
      </c>
      <c r="J44" s="146"/>
      <c r="K44" s="146"/>
      <c r="L44" s="146"/>
      <c r="M44" s="146"/>
      <c r="N44" s="146"/>
      <c r="O44" s="146"/>
      <c r="P44" s="146"/>
      <c r="Q44" s="146"/>
      <c r="R44" s="146"/>
    </row>
    <row r="45">
      <c r="A45" s="146"/>
      <c r="B45" s="155"/>
      <c r="C45" s="148">
        <v>46174.0</v>
      </c>
      <c r="D45" s="148">
        <v>46184.0</v>
      </c>
      <c r="E45" s="150">
        <f t="shared" si="1"/>
        <v>10</v>
      </c>
      <c r="F45" s="150">
        <v>30.0</v>
      </c>
      <c r="G45" s="157">
        <v>909.0</v>
      </c>
      <c r="H45" s="159">
        <v>7900.0</v>
      </c>
      <c r="I45" s="152">
        <f t="shared" si="2"/>
        <v>2393700</v>
      </c>
      <c r="J45" s="146"/>
      <c r="K45" s="146"/>
      <c r="L45" s="146"/>
      <c r="M45" s="146"/>
      <c r="N45" s="146"/>
      <c r="O45" s="146"/>
      <c r="P45" s="146"/>
      <c r="Q45" s="146"/>
      <c r="R45" s="146"/>
    </row>
    <row r="46">
      <c r="A46" s="146"/>
      <c r="B46" s="155"/>
      <c r="C46" s="148">
        <v>46174.0</v>
      </c>
      <c r="D46" s="148">
        <v>46185.0</v>
      </c>
      <c r="E46" s="150">
        <f t="shared" si="1"/>
        <v>11</v>
      </c>
      <c r="F46" s="150">
        <v>30.0</v>
      </c>
      <c r="G46" s="157">
        <v>141.0</v>
      </c>
      <c r="H46" s="159">
        <v>7900.0</v>
      </c>
      <c r="I46" s="152">
        <f t="shared" si="2"/>
        <v>408430</v>
      </c>
      <c r="J46" s="146"/>
      <c r="K46" s="146"/>
      <c r="L46" s="146"/>
      <c r="M46" s="146"/>
      <c r="N46" s="146"/>
      <c r="O46" s="146"/>
      <c r="P46" s="146"/>
      <c r="Q46" s="146"/>
      <c r="R46" s="146"/>
    </row>
    <row r="47">
      <c r="A47" s="146"/>
      <c r="B47" s="161"/>
      <c r="C47" s="148">
        <v>46174.0</v>
      </c>
      <c r="D47" s="148">
        <v>46188.0</v>
      </c>
      <c r="E47" s="150">
        <f t="shared" si="1"/>
        <v>14</v>
      </c>
      <c r="F47" s="150">
        <v>30.0</v>
      </c>
      <c r="G47" s="159">
        <v>1681.0</v>
      </c>
      <c r="H47" s="159">
        <v>7900.0</v>
      </c>
      <c r="I47" s="152">
        <f t="shared" si="2"/>
        <v>6197286.667</v>
      </c>
      <c r="J47" s="146"/>
      <c r="K47" s="146"/>
      <c r="L47" s="146"/>
      <c r="M47" s="146"/>
      <c r="N47" s="146"/>
      <c r="O47" s="146"/>
      <c r="P47" s="146"/>
      <c r="Q47" s="146"/>
      <c r="R47" s="146"/>
    </row>
    <row r="48">
      <c r="A48" s="146"/>
      <c r="B48" s="160" t="s">
        <v>287</v>
      </c>
      <c r="C48" s="148">
        <v>46117.0</v>
      </c>
      <c r="D48" s="148">
        <v>46188.0</v>
      </c>
      <c r="E48" s="150">
        <f t="shared" si="1"/>
        <v>71</v>
      </c>
      <c r="F48" s="150">
        <v>30.0</v>
      </c>
      <c r="G48" s="157">
        <v>1.0</v>
      </c>
      <c r="H48" s="159">
        <v>8350.0</v>
      </c>
      <c r="I48" s="152">
        <f t="shared" si="2"/>
        <v>19761.66667</v>
      </c>
      <c r="J48" s="146"/>
      <c r="K48" s="146"/>
      <c r="L48" s="146"/>
      <c r="M48" s="146"/>
      <c r="N48" s="146"/>
      <c r="O48" s="146"/>
      <c r="P48" s="146"/>
      <c r="Q48" s="146"/>
      <c r="R48" s="146"/>
    </row>
    <row r="49">
      <c r="A49" s="146"/>
      <c r="B49" s="155"/>
      <c r="C49" s="148">
        <v>46118.0</v>
      </c>
      <c r="D49" s="148">
        <v>46188.0</v>
      </c>
      <c r="E49" s="150">
        <f t="shared" si="1"/>
        <v>70</v>
      </c>
      <c r="F49" s="150">
        <v>30.0</v>
      </c>
      <c r="G49" s="157">
        <v>450.0</v>
      </c>
      <c r="H49" s="159">
        <v>8350.0</v>
      </c>
      <c r="I49" s="152">
        <f t="shared" si="2"/>
        <v>8767500</v>
      </c>
      <c r="J49" s="146"/>
      <c r="K49" s="146"/>
      <c r="L49" s="146"/>
      <c r="M49" s="146"/>
      <c r="N49" s="146"/>
      <c r="O49" s="146"/>
      <c r="P49" s="146"/>
      <c r="Q49" s="146"/>
      <c r="R49" s="146"/>
    </row>
    <row r="50">
      <c r="A50" s="146"/>
      <c r="B50" s="155"/>
      <c r="C50" s="148">
        <v>46122.0</v>
      </c>
      <c r="D50" s="148">
        <v>46188.0</v>
      </c>
      <c r="E50" s="150">
        <f t="shared" si="1"/>
        <v>66</v>
      </c>
      <c r="F50" s="150">
        <v>30.0</v>
      </c>
      <c r="G50" s="157">
        <v>600.0</v>
      </c>
      <c r="H50" s="159">
        <v>8350.0</v>
      </c>
      <c r="I50" s="152">
        <f t="shared" si="2"/>
        <v>11022000</v>
      </c>
      <c r="J50" s="146"/>
      <c r="K50" s="146"/>
      <c r="L50" s="146"/>
      <c r="M50" s="146"/>
      <c r="N50" s="146"/>
      <c r="O50" s="146"/>
      <c r="P50" s="146"/>
      <c r="Q50" s="146"/>
      <c r="R50" s="146"/>
    </row>
    <row r="51">
      <c r="A51" s="146"/>
      <c r="B51" s="155"/>
      <c r="C51" s="148">
        <v>46126.0</v>
      </c>
      <c r="D51" s="148">
        <v>46188.0</v>
      </c>
      <c r="E51" s="150">
        <f t="shared" si="1"/>
        <v>62</v>
      </c>
      <c r="F51" s="150">
        <v>30.0</v>
      </c>
      <c r="G51" s="157">
        <v>654.0</v>
      </c>
      <c r="H51" s="159">
        <v>8350.0</v>
      </c>
      <c r="I51" s="152">
        <f t="shared" si="2"/>
        <v>11285860</v>
      </c>
      <c r="J51" s="146"/>
      <c r="K51" s="146"/>
      <c r="L51" s="146"/>
      <c r="M51" s="146"/>
      <c r="N51" s="146"/>
      <c r="O51" s="146"/>
      <c r="P51" s="146"/>
      <c r="Q51" s="146"/>
      <c r="R51" s="146"/>
    </row>
    <row r="52">
      <c r="A52" s="146"/>
      <c r="B52" s="155"/>
      <c r="C52" s="148">
        <v>46130.0</v>
      </c>
      <c r="D52" s="148">
        <v>46188.0</v>
      </c>
      <c r="E52" s="150">
        <f t="shared" si="1"/>
        <v>58</v>
      </c>
      <c r="F52" s="150">
        <v>30.0</v>
      </c>
      <c r="G52" s="157">
        <v>1.0</v>
      </c>
      <c r="H52" s="159">
        <v>8350.0</v>
      </c>
      <c r="I52" s="152">
        <f t="shared" si="2"/>
        <v>16143.33333</v>
      </c>
      <c r="J52" s="146"/>
      <c r="K52" s="146"/>
      <c r="L52" s="146"/>
      <c r="M52" s="146"/>
      <c r="N52" s="146"/>
      <c r="O52" s="146"/>
      <c r="P52" s="146"/>
      <c r="Q52" s="146"/>
      <c r="R52" s="146"/>
    </row>
    <row r="53">
      <c r="A53" s="146"/>
      <c r="B53" s="155"/>
      <c r="C53" s="148">
        <v>46131.0</v>
      </c>
      <c r="D53" s="148">
        <v>46188.0</v>
      </c>
      <c r="E53" s="150">
        <f t="shared" si="1"/>
        <v>57</v>
      </c>
      <c r="F53" s="150">
        <v>30.0</v>
      </c>
      <c r="G53" s="159">
        <v>1500.0</v>
      </c>
      <c r="H53" s="159">
        <v>8350.0</v>
      </c>
      <c r="I53" s="152">
        <f t="shared" si="2"/>
        <v>23797500</v>
      </c>
      <c r="J53" s="146"/>
      <c r="K53" s="146"/>
      <c r="L53" s="146"/>
      <c r="M53" s="146"/>
      <c r="N53" s="146"/>
      <c r="O53" s="146"/>
      <c r="P53" s="146"/>
      <c r="Q53" s="146"/>
      <c r="R53" s="146"/>
    </row>
    <row r="54">
      <c r="A54" s="146"/>
      <c r="B54" s="155"/>
      <c r="C54" s="148">
        <v>46132.0</v>
      </c>
      <c r="D54" s="148">
        <v>46188.0</v>
      </c>
      <c r="E54" s="150">
        <f t="shared" si="1"/>
        <v>56</v>
      </c>
      <c r="F54" s="150">
        <v>30.0</v>
      </c>
      <c r="G54" s="159">
        <v>1500.0</v>
      </c>
      <c r="H54" s="159">
        <v>8350.0</v>
      </c>
      <c r="I54" s="152">
        <f t="shared" si="2"/>
        <v>23380000</v>
      </c>
      <c r="J54" s="146"/>
      <c r="K54" s="146"/>
      <c r="L54" s="146"/>
      <c r="M54" s="146"/>
      <c r="N54" s="146"/>
      <c r="O54" s="146"/>
      <c r="P54" s="146"/>
      <c r="Q54" s="146"/>
      <c r="R54" s="146"/>
    </row>
    <row r="55">
      <c r="A55" s="146"/>
      <c r="B55" s="155"/>
      <c r="C55" s="148">
        <v>46135.0</v>
      </c>
      <c r="D55" s="148">
        <v>46188.0</v>
      </c>
      <c r="E55" s="150">
        <f t="shared" si="1"/>
        <v>53</v>
      </c>
      <c r="F55" s="150">
        <v>30.0</v>
      </c>
      <c r="G55" s="157">
        <v>2.0</v>
      </c>
      <c r="H55" s="159">
        <v>8350.0</v>
      </c>
      <c r="I55" s="152">
        <f t="shared" si="2"/>
        <v>29503.33333</v>
      </c>
      <c r="J55" s="146"/>
      <c r="K55" s="146"/>
      <c r="L55" s="146"/>
      <c r="M55" s="146"/>
      <c r="N55" s="146"/>
      <c r="O55" s="146"/>
      <c r="P55" s="146"/>
      <c r="Q55" s="146"/>
      <c r="R55" s="146"/>
    </row>
    <row r="56">
      <c r="A56" s="146"/>
      <c r="B56" s="161"/>
      <c r="C56" s="148">
        <v>46136.0</v>
      </c>
      <c r="D56" s="148">
        <v>46188.0</v>
      </c>
      <c r="E56" s="150">
        <f t="shared" si="1"/>
        <v>52</v>
      </c>
      <c r="F56" s="150">
        <v>30.0</v>
      </c>
      <c r="G56" s="159">
        <v>2500.0</v>
      </c>
      <c r="H56" s="159">
        <v>8350.0</v>
      </c>
      <c r="I56" s="152">
        <f t="shared" si="2"/>
        <v>36183333.33</v>
      </c>
      <c r="J56" s="146"/>
      <c r="K56" s="146"/>
      <c r="L56" s="146"/>
      <c r="M56" s="146"/>
      <c r="N56" s="146"/>
      <c r="O56" s="146"/>
      <c r="P56" s="146"/>
      <c r="Q56" s="146"/>
      <c r="R56" s="146"/>
    </row>
    <row r="57">
      <c r="A57" s="146"/>
      <c r="B57" s="156"/>
      <c r="C57" s="148">
        <v>46174.0</v>
      </c>
      <c r="D57" s="148">
        <v>46175.0</v>
      </c>
      <c r="E57" s="150">
        <f t="shared" si="1"/>
        <v>1</v>
      </c>
      <c r="F57" s="150">
        <v>30.0</v>
      </c>
      <c r="G57" s="159">
        <v>1650.0</v>
      </c>
      <c r="H57" s="159">
        <v>8350.0</v>
      </c>
      <c r="I57" s="152">
        <f t="shared" si="2"/>
        <v>459250</v>
      </c>
      <c r="J57" s="146"/>
      <c r="K57" s="146"/>
      <c r="L57" s="146"/>
      <c r="M57" s="146"/>
      <c r="N57" s="146"/>
      <c r="O57" s="146"/>
      <c r="P57" s="146"/>
      <c r="Q57" s="146"/>
      <c r="R57" s="146"/>
    </row>
    <row r="58">
      <c r="A58" s="146"/>
      <c r="B58" s="155"/>
      <c r="C58" s="148">
        <v>46174.0</v>
      </c>
      <c r="D58" s="148">
        <v>46177.0</v>
      </c>
      <c r="E58" s="150">
        <f t="shared" si="1"/>
        <v>3</v>
      </c>
      <c r="F58" s="150">
        <v>30.0</v>
      </c>
      <c r="G58" s="157">
        <v>461.0</v>
      </c>
      <c r="H58" s="159">
        <v>8350.0</v>
      </c>
      <c r="I58" s="152">
        <f t="shared" si="2"/>
        <v>384935</v>
      </c>
      <c r="J58" s="146"/>
      <c r="K58" s="146"/>
      <c r="L58" s="146"/>
      <c r="M58" s="146"/>
      <c r="N58" s="146"/>
      <c r="O58" s="146"/>
      <c r="P58" s="146"/>
      <c r="Q58" s="146"/>
      <c r="R58" s="146"/>
    </row>
    <row r="59">
      <c r="A59" s="146"/>
      <c r="B59" s="155"/>
      <c r="C59" s="148">
        <v>46174.0</v>
      </c>
      <c r="D59" s="148">
        <v>46178.0</v>
      </c>
      <c r="E59" s="150">
        <f t="shared" si="1"/>
        <v>4</v>
      </c>
      <c r="F59" s="150">
        <v>30.0</v>
      </c>
      <c r="G59" s="159">
        <v>1492.0</v>
      </c>
      <c r="H59" s="159">
        <v>8350.0</v>
      </c>
      <c r="I59" s="152">
        <f t="shared" si="2"/>
        <v>1661093.333</v>
      </c>
      <c r="J59" s="146"/>
      <c r="K59" s="146"/>
      <c r="L59" s="146"/>
      <c r="M59" s="146"/>
      <c r="N59" s="146"/>
      <c r="O59" s="146"/>
      <c r="P59" s="146"/>
      <c r="Q59" s="146"/>
      <c r="R59" s="146"/>
    </row>
    <row r="60">
      <c r="A60" s="146"/>
      <c r="B60" s="155"/>
      <c r="C60" s="148">
        <v>46174.0</v>
      </c>
      <c r="D60" s="148">
        <v>46178.0</v>
      </c>
      <c r="E60" s="150">
        <f t="shared" si="1"/>
        <v>4</v>
      </c>
      <c r="F60" s="150">
        <v>30.0</v>
      </c>
      <c r="G60" s="157">
        <v>12.0</v>
      </c>
      <c r="H60" s="159">
        <v>8350.0</v>
      </c>
      <c r="I60" s="152">
        <f t="shared" si="2"/>
        <v>13360</v>
      </c>
      <c r="J60" s="146"/>
      <c r="K60" s="146"/>
      <c r="L60" s="146"/>
      <c r="M60" s="146"/>
      <c r="N60" s="146"/>
      <c r="O60" s="146"/>
      <c r="P60" s="146"/>
      <c r="Q60" s="146"/>
      <c r="R60" s="146"/>
    </row>
    <row r="61">
      <c r="A61" s="146"/>
      <c r="B61" s="155"/>
      <c r="C61" s="148">
        <v>46174.0</v>
      </c>
      <c r="D61" s="148">
        <v>46180.0</v>
      </c>
      <c r="E61" s="150">
        <f t="shared" si="1"/>
        <v>6</v>
      </c>
      <c r="F61" s="150">
        <v>30.0</v>
      </c>
      <c r="G61" s="159">
        <v>1291.0</v>
      </c>
      <c r="H61" s="159">
        <v>8350.0</v>
      </c>
      <c r="I61" s="152">
        <f t="shared" si="2"/>
        <v>2155970</v>
      </c>
      <c r="J61" s="146"/>
      <c r="K61" s="146"/>
      <c r="L61" s="146"/>
      <c r="M61" s="146"/>
      <c r="N61" s="146"/>
      <c r="O61" s="146"/>
      <c r="P61" s="146"/>
      <c r="Q61" s="146"/>
      <c r="R61" s="146"/>
    </row>
    <row r="62">
      <c r="A62" s="146"/>
      <c r="B62" s="155"/>
      <c r="C62" s="148">
        <v>46174.0</v>
      </c>
      <c r="D62" s="148">
        <v>46180.0</v>
      </c>
      <c r="E62" s="150">
        <f t="shared" si="1"/>
        <v>6</v>
      </c>
      <c r="F62" s="150">
        <v>30.0</v>
      </c>
      <c r="G62" s="159">
        <v>1508.0</v>
      </c>
      <c r="H62" s="159">
        <v>8350.0</v>
      </c>
      <c r="I62" s="152">
        <f t="shared" si="2"/>
        <v>2518360</v>
      </c>
      <c r="J62" s="146"/>
      <c r="K62" s="146"/>
      <c r="L62" s="146"/>
      <c r="M62" s="146"/>
      <c r="N62" s="146"/>
      <c r="O62" s="146"/>
      <c r="P62" s="146"/>
      <c r="Q62" s="146"/>
      <c r="R62" s="146"/>
    </row>
    <row r="63">
      <c r="A63" s="146"/>
      <c r="B63" s="155"/>
      <c r="C63" s="148">
        <v>46174.0</v>
      </c>
      <c r="D63" s="148">
        <v>46181.0</v>
      </c>
      <c r="E63" s="150">
        <f t="shared" si="1"/>
        <v>7</v>
      </c>
      <c r="F63" s="150">
        <v>30.0</v>
      </c>
      <c r="G63" s="159">
        <v>1400.0</v>
      </c>
      <c r="H63" s="159">
        <v>8350.0</v>
      </c>
      <c r="I63" s="152">
        <f t="shared" si="2"/>
        <v>2727666.667</v>
      </c>
      <c r="J63" s="146"/>
      <c r="K63" s="146"/>
      <c r="L63" s="146"/>
      <c r="M63" s="146"/>
      <c r="N63" s="146"/>
      <c r="O63" s="146"/>
      <c r="P63" s="146"/>
      <c r="Q63" s="146"/>
      <c r="R63" s="146"/>
    </row>
    <row r="64">
      <c r="A64" s="146"/>
      <c r="B64" s="155"/>
      <c r="C64" s="148">
        <v>46174.0</v>
      </c>
      <c r="D64" s="148">
        <v>46182.0</v>
      </c>
      <c r="E64" s="150">
        <f t="shared" si="1"/>
        <v>8</v>
      </c>
      <c r="F64" s="150">
        <v>30.0</v>
      </c>
      <c r="G64" s="157">
        <v>274.0</v>
      </c>
      <c r="H64" s="159">
        <v>8350.0</v>
      </c>
      <c r="I64" s="152">
        <f t="shared" si="2"/>
        <v>610106.6667</v>
      </c>
      <c r="J64" s="146"/>
      <c r="K64" s="146"/>
      <c r="L64" s="146"/>
      <c r="M64" s="146"/>
      <c r="N64" s="146"/>
      <c r="O64" s="146"/>
      <c r="P64" s="146"/>
      <c r="Q64" s="146"/>
      <c r="R64" s="146"/>
    </row>
    <row r="65">
      <c r="A65" s="146"/>
      <c r="B65" s="155"/>
      <c r="C65" s="148">
        <v>46174.0</v>
      </c>
      <c r="D65" s="148">
        <v>46182.0</v>
      </c>
      <c r="E65" s="150">
        <f t="shared" si="1"/>
        <v>8</v>
      </c>
      <c r="F65" s="150">
        <v>30.0</v>
      </c>
      <c r="G65" s="157">
        <v>1.0</v>
      </c>
      <c r="H65" s="159">
        <v>8350.0</v>
      </c>
      <c r="I65" s="152">
        <f t="shared" si="2"/>
        <v>2226.666667</v>
      </c>
      <c r="J65" s="146"/>
      <c r="K65" s="146"/>
      <c r="L65" s="146"/>
      <c r="M65" s="146"/>
      <c r="N65" s="146"/>
      <c r="O65" s="146"/>
      <c r="P65" s="146"/>
      <c r="Q65" s="146"/>
      <c r="R65" s="146"/>
    </row>
    <row r="66">
      <c r="A66" s="146"/>
      <c r="B66" s="155"/>
      <c r="C66" s="148">
        <v>46174.0</v>
      </c>
      <c r="D66" s="148">
        <v>46183.0</v>
      </c>
      <c r="E66" s="150">
        <f t="shared" si="1"/>
        <v>9</v>
      </c>
      <c r="F66" s="150">
        <v>30.0</v>
      </c>
      <c r="G66" s="157">
        <v>351.0</v>
      </c>
      <c r="H66" s="159">
        <v>8350.0</v>
      </c>
      <c r="I66" s="152">
        <f t="shared" si="2"/>
        <v>879255</v>
      </c>
      <c r="J66" s="146"/>
      <c r="K66" s="146"/>
      <c r="L66" s="146"/>
      <c r="M66" s="146"/>
      <c r="N66" s="146"/>
      <c r="O66" s="146"/>
      <c r="P66" s="146"/>
      <c r="Q66" s="146"/>
      <c r="R66" s="146"/>
    </row>
    <row r="67">
      <c r="A67" s="146"/>
      <c r="B67" s="155"/>
      <c r="C67" s="148">
        <v>46174.0</v>
      </c>
      <c r="D67" s="148">
        <v>46183.0</v>
      </c>
      <c r="E67" s="150">
        <f t="shared" si="1"/>
        <v>9</v>
      </c>
      <c r="F67" s="150">
        <v>30.0</v>
      </c>
      <c r="G67" s="157">
        <v>997.0</v>
      </c>
      <c r="H67" s="159">
        <v>8350.0</v>
      </c>
      <c r="I67" s="152">
        <f t="shared" si="2"/>
        <v>2497485</v>
      </c>
      <c r="J67" s="146"/>
      <c r="K67" s="146"/>
      <c r="L67" s="146"/>
      <c r="M67" s="146"/>
      <c r="N67" s="146"/>
      <c r="O67" s="146"/>
      <c r="P67" s="146"/>
      <c r="Q67" s="146"/>
      <c r="R67" s="146"/>
    </row>
    <row r="68">
      <c r="A68" s="146"/>
      <c r="B68" s="155"/>
      <c r="C68" s="148">
        <v>46174.0</v>
      </c>
      <c r="D68" s="148">
        <v>46184.0</v>
      </c>
      <c r="E68" s="150">
        <f t="shared" si="1"/>
        <v>10</v>
      </c>
      <c r="F68" s="150">
        <v>30.0</v>
      </c>
      <c r="G68" s="157">
        <v>738.0</v>
      </c>
      <c r="H68" s="159">
        <v>8350.0</v>
      </c>
      <c r="I68" s="152">
        <f t="shared" si="2"/>
        <v>2054100</v>
      </c>
      <c r="J68" s="146"/>
      <c r="K68" s="146"/>
      <c r="L68" s="146"/>
      <c r="M68" s="146"/>
      <c r="N68" s="146"/>
      <c r="O68" s="146"/>
      <c r="P68" s="146"/>
      <c r="Q68" s="146"/>
      <c r="R68" s="146"/>
    </row>
    <row r="69">
      <c r="A69" s="146"/>
      <c r="B69" s="155"/>
      <c r="C69" s="148">
        <v>46174.0</v>
      </c>
      <c r="D69" s="148">
        <v>46185.0</v>
      </c>
      <c r="E69" s="150">
        <f t="shared" si="1"/>
        <v>11</v>
      </c>
      <c r="F69" s="150">
        <v>30.0</v>
      </c>
      <c r="G69" s="157">
        <v>25.0</v>
      </c>
      <c r="H69" s="159">
        <v>8350.0</v>
      </c>
      <c r="I69" s="152">
        <f t="shared" si="2"/>
        <v>76541.66667</v>
      </c>
      <c r="J69" s="146"/>
      <c r="K69" s="146"/>
      <c r="L69" s="146"/>
      <c r="M69" s="146"/>
      <c r="N69" s="146"/>
      <c r="O69" s="146"/>
      <c r="P69" s="146"/>
      <c r="Q69" s="146"/>
      <c r="R69" s="146"/>
    </row>
    <row r="70">
      <c r="A70" s="146"/>
      <c r="B70" s="161"/>
      <c r="C70" s="148">
        <v>46174.0</v>
      </c>
      <c r="D70" s="148">
        <v>46188.0</v>
      </c>
      <c r="E70" s="150">
        <f t="shared" si="1"/>
        <v>14</v>
      </c>
      <c r="F70" s="150">
        <v>30.0</v>
      </c>
      <c r="G70" s="157">
        <v>5.0</v>
      </c>
      <c r="H70" s="159">
        <v>8350.0</v>
      </c>
      <c r="I70" s="152">
        <f t="shared" si="2"/>
        <v>19483.33333</v>
      </c>
      <c r="J70" s="146"/>
      <c r="K70" s="146"/>
      <c r="L70" s="146"/>
      <c r="M70" s="146"/>
      <c r="N70" s="146"/>
      <c r="O70" s="146"/>
      <c r="P70" s="146"/>
      <c r="Q70" s="146"/>
      <c r="R70" s="146"/>
    </row>
    <row r="71">
      <c r="A71" s="146"/>
      <c r="B71" s="160" t="s">
        <v>288</v>
      </c>
      <c r="C71" s="148">
        <v>46116.0</v>
      </c>
      <c r="D71" s="148">
        <v>46188.0</v>
      </c>
      <c r="E71" s="150">
        <f t="shared" si="1"/>
        <v>72</v>
      </c>
      <c r="F71" s="150">
        <v>30.0</v>
      </c>
      <c r="G71" s="157">
        <v>16.0</v>
      </c>
      <c r="H71" s="159">
        <v>11000.0</v>
      </c>
      <c r="I71" s="152">
        <f t="shared" si="2"/>
        <v>422400</v>
      </c>
      <c r="J71" s="146"/>
      <c r="K71" s="146"/>
      <c r="L71" s="146"/>
      <c r="M71" s="146"/>
      <c r="N71" s="146"/>
      <c r="O71" s="146"/>
      <c r="P71" s="146"/>
      <c r="Q71" s="146"/>
      <c r="R71" s="146"/>
    </row>
    <row r="72">
      <c r="A72" s="146"/>
      <c r="B72" s="155"/>
      <c r="C72" s="148">
        <v>46117.0</v>
      </c>
      <c r="D72" s="148">
        <v>46188.0</v>
      </c>
      <c r="E72" s="150">
        <f t="shared" si="1"/>
        <v>71</v>
      </c>
      <c r="F72" s="150">
        <v>30.0</v>
      </c>
      <c r="G72" s="157">
        <v>12.0</v>
      </c>
      <c r="H72" s="159">
        <v>11000.0</v>
      </c>
      <c r="I72" s="152">
        <f t="shared" si="2"/>
        <v>312400</v>
      </c>
      <c r="J72" s="146"/>
      <c r="K72" s="146"/>
      <c r="L72" s="146"/>
      <c r="M72" s="146"/>
      <c r="N72" s="146"/>
      <c r="O72" s="146"/>
      <c r="P72" s="146"/>
      <c r="Q72" s="146"/>
      <c r="R72" s="146"/>
    </row>
    <row r="73">
      <c r="A73" s="146"/>
      <c r="B73" s="155"/>
      <c r="C73" s="148">
        <v>46117.0</v>
      </c>
      <c r="D73" s="148">
        <v>46188.0</v>
      </c>
      <c r="E73" s="150">
        <f t="shared" si="1"/>
        <v>71</v>
      </c>
      <c r="F73" s="150">
        <v>30.0</v>
      </c>
      <c r="G73" s="157">
        <v>23.0</v>
      </c>
      <c r="H73" s="159">
        <v>11000.0</v>
      </c>
      <c r="I73" s="152">
        <f t="shared" si="2"/>
        <v>598766.6667</v>
      </c>
      <c r="J73" s="146"/>
      <c r="K73" s="146"/>
      <c r="L73" s="146"/>
      <c r="M73" s="146"/>
      <c r="N73" s="146"/>
      <c r="O73" s="146"/>
      <c r="P73" s="146"/>
      <c r="Q73" s="146"/>
      <c r="R73" s="146"/>
    </row>
    <row r="74">
      <c r="A74" s="146"/>
      <c r="B74" s="155"/>
      <c r="C74" s="148">
        <v>46122.0</v>
      </c>
      <c r="D74" s="148">
        <v>46188.0</v>
      </c>
      <c r="E74" s="150">
        <f t="shared" si="1"/>
        <v>66</v>
      </c>
      <c r="F74" s="150">
        <v>30.0</v>
      </c>
      <c r="G74" s="157">
        <v>27.0</v>
      </c>
      <c r="H74" s="159">
        <v>11000.0</v>
      </c>
      <c r="I74" s="152">
        <f t="shared" si="2"/>
        <v>653400</v>
      </c>
      <c r="J74" s="146"/>
      <c r="K74" s="146"/>
      <c r="L74" s="146"/>
      <c r="M74" s="146"/>
      <c r="N74" s="146"/>
      <c r="O74" s="146"/>
      <c r="P74" s="146"/>
      <c r="Q74" s="146"/>
      <c r="R74" s="146"/>
    </row>
    <row r="75">
      <c r="A75" s="146"/>
      <c r="B75" s="155"/>
      <c r="C75" s="148">
        <v>46126.0</v>
      </c>
      <c r="D75" s="148">
        <v>46188.0</v>
      </c>
      <c r="E75" s="150">
        <f t="shared" si="1"/>
        <v>62</v>
      </c>
      <c r="F75" s="150">
        <v>30.0</v>
      </c>
      <c r="G75" s="157">
        <v>20.0</v>
      </c>
      <c r="H75" s="159">
        <v>11000.0</v>
      </c>
      <c r="I75" s="152">
        <f t="shared" si="2"/>
        <v>454666.6667</v>
      </c>
      <c r="J75" s="146"/>
      <c r="K75" s="146"/>
      <c r="L75" s="146"/>
      <c r="M75" s="146"/>
      <c r="N75" s="146"/>
      <c r="O75" s="146"/>
      <c r="P75" s="146"/>
      <c r="Q75" s="146"/>
      <c r="R75" s="146"/>
    </row>
    <row r="76">
      <c r="A76" s="146"/>
      <c r="B76" s="155"/>
      <c r="C76" s="148">
        <v>46130.0</v>
      </c>
      <c r="D76" s="148">
        <v>46188.0</v>
      </c>
      <c r="E76" s="150">
        <f t="shared" si="1"/>
        <v>58</v>
      </c>
      <c r="F76" s="150">
        <v>30.0</v>
      </c>
      <c r="G76" s="157">
        <v>20.0</v>
      </c>
      <c r="H76" s="159">
        <v>11000.0</v>
      </c>
      <c r="I76" s="152">
        <f t="shared" si="2"/>
        <v>425333.3333</v>
      </c>
      <c r="J76" s="146"/>
      <c r="K76" s="146"/>
      <c r="L76" s="146"/>
      <c r="M76" s="146"/>
      <c r="N76" s="146"/>
      <c r="O76" s="146"/>
      <c r="P76" s="146"/>
      <c r="Q76" s="146"/>
      <c r="R76" s="146"/>
    </row>
    <row r="77">
      <c r="A77" s="146"/>
      <c r="B77" s="155"/>
      <c r="C77" s="148">
        <v>46131.0</v>
      </c>
      <c r="D77" s="148">
        <v>46188.0</v>
      </c>
      <c r="E77" s="150">
        <f t="shared" si="1"/>
        <v>57</v>
      </c>
      <c r="F77" s="150">
        <v>30.0</v>
      </c>
      <c r="G77" s="157">
        <v>20.0</v>
      </c>
      <c r="H77" s="159">
        <v>11000.0</v>
      </c>
      <c r="I77" s="152">
        <f t="shared" si="2"/>
        <v>418000</v>
      </c>
      <c r="J77" s="146"/>
      <c r="K77" s="146"/>
      <c r="L77" s="146"/>
      <c r="M77" s="146"/>
      <c r="N77" s="146"/>
      <c r="O77" s="146"/>
      <c r="P77" s="146"/>
      <c r="Q77" s="146"/>
      <c r="R77" s="146"/>
    </row>
    <row r="78">
      <c r="A78" s="146"/>
      <c r="B78" s="155"/>
      <c r="C78" s="148">
        <v>46132.0</v>
      </c>
      <c r="D78" s="148">
        <v>46188.0</v>
      </c>
      <c r="E78" s="150">
        <f t="shared" si="1"/>
        <v>56</v>
      </c>
      <c r="F78" s="150">
        <v>30.0</v>
      </c>
      <c r="G78" s="157">
        <v>20.0</v>
      </c>
      <c r="H78" s="159">
        <v>11000.0</v>
      </c>
      <c r="I78" s="152">
        <f t="shared" si="2"/>
        <v>410666.6667</v>
      </c>
      <c r="J78" s="146"/>
      <c r="K78" s="146"/>
      <c r="L78" s="146"/>
      <c r="M78" s="146"/>
      <c r="N78" s="146"/>
      <c r="O78" s="146"/>
      <c r="P78" s="146"/>
      <c r="Q78" s="146"/>
      <c r="R78" s="146"/>
    </row>
    <row r="79">
      <c r="A79" s="146"/>
      <c r="B79" s="155"/>
      <c r="C79" s="148">
        <v>46135.0</v>
      </c>
      <c r="D79" s="148">
        <v>46188.0</v>
      </c>
      <c r="E79" s="150">
        <f t="shared" si="1"/>
        <v>53</v>
      </c>
      <c r="F79" s="150">
        <v>30.0</v>
      </c>
      <c r="G79" s="157">
        <v>16.0</v>
      </c>
      <c r="H79" s="159">
        <v>11000.0</v>
      </c>
      <c r="I79" s="152">
        <f t="shared" si="2"/>
        <v>310933.3333</v>
      </c>
      <c r="J79" s="146"/>
      <c r="K79" s="146"/>
      <c r="L79" s="146"/>
      <c r="M79" s="146"/>
      <c r="N79" s="146"/>
      <c r="O79" s="146"/>
      <c r="P79" s="146"/>
      <c r="Q79" s="146"/>
      <c r="R79" s="146"/>
    </row>
    <row r="80">
      <c r="A80" s="146"/>
      <c r="B80" s="161"/>
      <c r="C80" s="148">
        <v>46136.0</v>
      </c>
      <c r="D80" s="148">
        <v>46188.0</v>
      </c>
      <c r="E80" s="150">
        <f t="shared" si="1"/>
        <v>52</v>
      </c>
      <c r="F80" s="150">
        <v>30.0</v>
      </c>
      <c r="G80" s="157">
        <v>20.0</v>
      </c>
      <c r="H80" s="159">
        <v>11000.0</v>
      </c>
      <c r="I80" s="152">
        <f t="shared" si="2"/>
        <v>381333.3333</v>
      </c>
      <c r="J80" s="146"/>
      <c r="K80" s="146"/>
      <c r="L80" s="146"/>
      <c r="M80" s="146"/>
      <c r="N80" s="146"/>
      <c r="O80" s="146"/>
      <c r="P80" s="146"/>
      <c r="Q80" s="146"/>
      <c r="R80" s="146"/>
    </row>
    <row r="81">
      <c r="A81" s="146"/>
      <c r="B81" s="156"/>
      <c r="C81" s="148">
        <v>46174.0</v>
      </c>
      <c r="D81" s="148">
        <v>46182.0</v>
      </c>
      <c r="E81" s="150">
        <f t="shared" si="1"/>
        <v>8</v>
      </c>
      <c r="F81" s="150">
        <v>30.0</v>
      </c>
      <c r="G81" s="157">
        <v>64.0</v>
      </c>
      <c r="H81" s="159">
        <v>11000.0</v>
      </c>
      <c r="I81" s="152">
        <f t="shared" si="2"/>
        <v>187733.3333</v>
      </c>
      <c r="J81" s="146"/>
      <c r="K81" s="146"/>
      <c r="L81" s="146"/>
      <c r="M81" s="146"/>
      <c r="N81" s="146"/>
      <c r="O81" s="146"/>
      <c r="P81" s="146"/>
      <c r="Q81" s="146"/>
      <c r="R81" s="146"/>
    </row>
    <row r="82">
      <c r="A82" s="146"/>
      <c r="B82" s="155"/>
      <c r="C82" s="148">
        <v>46174.0</v>
      </c>
      <c r="D82" s="148">
        <v>46185.0</v>
      </c>
      <c r="E82" s="150">
        <f t="shared" si="1"/>
        <v>11</v>
      </c>
      <c r="F82" s="150">
        <v>30.0</v>
      </c>
      <c r="G82" s="157">
        <v>56.0</v>
      </c>
      <c r="H82" s="159">
        <v>11000.0</v>
      </c>
      <c r="I82" s="152">
        <f t="shared" si="2"/>
        <v>225866.6667</v>
      </c>
      <c r="J82" s="146"/>
      <c r="K82" s="146"/>
      <c r="L82" s="146"/>
      <c r="M82" s="146"/>
      <c r="N82" s="146"/>
      <c r="O82" s="146"/>
      <c r="P82" s="146"/>
      <c r="Q82" s="146"/>
      <c r="R82" s="146"/>
    </row>
    <row r="83">
      <c r="A83" s="146"/>
      <c r="B83" s="155"/>
      <c r="C83" s="148">
        <v>46174.0</v>
      </c>
      <c r="D83" s="148">
        <v>46188.0</v>
      </c>
      <c r="E83" s="150">
        <f t="shared" si="1"/>
        <v>14</v>
      </c>
      <c r="F83" s="150">
        <v>30.0</v>
      </c>
      <c r="G83" s="157">
        <v>74.0</v>
      </c>
      <c r="H83" s="159">
        <v>11000.0</v>
      </c>
      <c r="I83" s="152">
        <f t="shared" si="2"/>
        <v>379866.6667</v>
      </c>
      <c r="J83" s="146"/>
      <c r="K83" s="146"/>
      <c r="L83" s="146"/>
      <c r="M83" s="146"/>
      <c r="N83" s="146"/>
      <c r="O83" s="146"/>
      <c r="P83" s="146"/>
      <c r="Q83" s="146"/>
      <c r="R83" s="146"/>
    </row>
    <row r="84">
      <c r="A84" s="146"/>
      <c r="B84" s="160" t="s">
        <v>289</v>
      </c>
      <c r="C84" s="148">
        <v>46122.0</v>
      </c>
      <c r="D84" s="148">
        <v>46188.0</v>
      </c>
      <c r="E84" s="150">
        <f t="shared" si="1"/>
        <v>66</v>
      </c>
      <c r="F84" s="150">
        <v>30.0</v>
      </c>
      <c r="G84" s="159">
        <v>1300.0</v>
      </c>
      <c r="H84" s="159">
        <v>11000.0</v>
      </c>
      <c r="I84" s="152">
        <f t="shared" si="2"/>
        <v>31460000</v>
      </c>
      <c r="J84" s="146"/>
      <c r="K84" s="146"/>
      <c r="L84" s="146"/>
      <c r="M84" s="146"/>
      <c r="N84" s="146"/>
      <c r="O84" s="146"/>
      <c r="P84" s="146"/>
      <c r="Q84" s="146"/>
      <c r="R84" s="146"/>
    </row>
    <row r="85">
      <c r="A85" s="146"/>
      <c r="B85" s="155"/>
      <c r="C85" s="148">
        <v>46126.0</v>
      </c>
      <c r="D85" s="148">
        <v>46188.0</v>
      </c>
      <c r="E85" s="150">
        <f t="shared" si="1"/>
        <v>62</v>
      </c>
      <c r="F85" s="150">
        <v>30.0</v>
      </c>
      <c r="G85" s="159">
        <v>1300.0</v>
      </c>
      <c r="H85" s="159">
        <v>11000.0</v>
      </c>
      <c r="I85" s="152">
        <f t="shared" si="2"/>
        <v>29553333.33</v>
      </c>
      <c r="J85" s="146"/>
      <c r="K85" s="146"/>
      <c r="L85" s="146"/>
      <c r="M85" s="146"/>
      <c r="N85" s="146"/>
      <c r="O85" s="146"/>
      <c r="P85" s="146"/>
      <c r="Q85" s="146"/>
      <c r="R85" s="146"/>
    </row>
    <row r="86">
      <c r="A86" s="146"/>
      <c r="B86" s="155"/>
      <c r="C86" s="148">
        <v>46130.0</v>
      </c>
      <c r="D86" s="148">
        <v>46188.0</v>
      </c>
      <c r="E86" s="150">
        <f t="shared" si="1"/>
        <v>58</v>
      </c>
      <c r="F86" s="150">
        <v>30.0</v>
      </c>
      <c r="G86" s="157">
        <v>1.0</v>
      </c>
      <c r="H86" s="159">
        <v>11000.0</v>
      </c>
      <c r="I86" s="152">
        <f t="shared" si="2"/>
        <v>21266.66667</v>
      </c>
      <c r="J86" s="146"/>
      <c r="K86" s="146"/>
      <c r="L86" s="146"/>
      <c r="M86" s="146"/>
      <c r="N86" s="146"/>
      <c r="O86" s="146"/>
      <c r="P86" s="146"/>
      <c r="Q86" s="146"/>
      <c r="R86" s="146"/>
    </row>
    <row r="87">
      <c r="A87" s="146"/>
      <c r="B87" s="155"/>
      <c r="C87" s="148">
        <v>46131.0</v>
      </c>
      <c r="D87" s="148">
        <v>46188.0</v>
      </c>
      <c r="E87" s="150">
        <f t="shared" si="1"/>
        <v>57</v>
      </c>
      <c r="F87" s="150">
        <v>30.0</v>
      </c>
      <c r="G87" s="157">
        <v>650.0</v>
      </c>
      <c r="H87" s="159">
        <v>11000.0</v>
      </c>
      <c r="I87" s="152">
        <f t="shared" si="2"/>
        <v>13585000</v>
      </c>
      <c r="J87" s="146"/>
      <c r="K87" s="146"/>
      <c r="L87" s="146"/>
      <c r="M87" s="146"/>
      <c r="N87" s="146"/>
      <c r="O87" s="146"/>
      <c r="P87" s="146"/>
      <c r="Q87" s="146"/>
      <c r="R87" s="146"/>
    </row>
    <row r="88">
      <c r="A88" s="146"/>
      <c r="B88" s="161"/>
      <c r="C88" s="148">
        <v>46132.0</v>
      </c>
      <c r="D88" s="148">
        <v>46188.0</v>
      </c>
      <c r="E88" s="150">
        <f t="shared" si="1"/>
        <v>56</v>
      </c>
      <c r="F88" s="150">
        <v>30.0</v>
      </c>
      <c r="G88" s="157">
        <v>650.0</v>
      </c>
      <c r="H88" s="159">
        <v>11000.0</v>
      </c>
      <c r="I88" s="152">
        <f t="shared" si="2"/>
        <v>13346666.67</v>
      </c>
      <c r="J88" s="146"/>
      <c r="K88" s="146"/>
      <c r="L88" s="146"/>
      <c r="M88" s="146"/>
      <c r="N88" s="146"/>
      <c r="O88" s="146"/>
      <c r="P88" s="146"/>
      <c r="Q88" s="146"/>
      <c r="R88" s="146"/>
    </row>
    <row r="89">
      <c r="A89" s="146"/>
      <c r="B89" s="156"/>
      <c r="C89" s="148">
        <v>46174.0</v>
      </c>
      <c r="D89" s="148">
        <v>46176.0</v>
      </c>
      <c r="E89" s="150">
        <f t="shared" si="1"/>
        <v>2</v>
      </c>
      <c r="F89" s="150">
        <v>30.0</v>
      </c>
      <c r="G89" s="157">
        <v>602.0</v>
      </c>
      <c r="H89" s="159">
        <v>11000.0</v>
      </c>
      <c r="I89" s="152">
        <f t="shared" si="2"/>
        <v>441466.6667</v>
      </c>
      <c r="J89" s="146"/>
      <c r="K89" s="146"/>
      <c r="L89" s="146"/>
      <c r="M89" s="146"/>
      <c r="N89" s="146"/>
      <c r="O89" s="146"/>
      <c r="P89" s="146"/>
      <c r="Q89" s="146"/>
      <c r="R89" s="146"/>
    </row>
    <row r="90">
      <c r="A90" s="146"/>
      <c r="B90" s="155"/>
      <c r="C90" s="148">
        <v>46174.0</v>
      </c>
      <c r="D90" s="148">
        <v>46177.0</v>
      </c>
      <c r="E90" s="150">
        <f t="shared" si="1"/>
        <v>3</v>
      </c>
      <c r="F90" s="150">
        <v>30.0</v>
      </c>
      <c r="G90" s="157">
        <v>360.0</v>
      </c>
      <c r="H90" s="159">
        <v>11000.0</v>
      </c>
      <c r="I90" s="152">
        <f t="shared" si="2"/>
        <v>396000</v>
      </c>
      <c r="J90" s="146"/>
      <c r="K90" s="146"/>
      <c r="L90" s="146"/>
      <c r="M90" s="146"/>
      <c r="N90" s="146"/>
      <c r="O90" s="146"/>
      <c r="P90" s="146"/>
      <c r="Q90" s="146"/>
      <c r="R90" s="146"/>
    </row>
    <row r="91">
      <c r="A91" s="146"/>
      <c r="B91" s="155"/>
      <c r="C91" s="148">
        <v>46174.0</v>
      </c>
      <c r="D91" s="148">
        <v>46178.0</v>
      </c>
      <c r="E91" s="150">
        <f t="shared" si="1"/>
        <v>4</v>
      </c>
      <c r="F91" s="150">
        <v>30.0</v>
      </c>
      <c r="G91" s="157">
        <v>373.0</v>
      </c>
      <c r="H91" s="159">
        <v>11000.0</v>
      </c>
      <c r="I91" s="152">
        <f t="shared" si="2"/>
        <v>547066.6667</v>
      </c>
      <c r="J91" s="146"/>
      <c r="K91" s="146"/>
      <c r="L91" s="146"/>
      <c r="M91" s="146"/>
      <c r="N91" s="146"/>
      <c r="O91" s="146"/>
      <c r="P91" s="146"/>
      <c r="Q91" s="146"/>
      <c r="R91" s="146"/>
    </row>
    <row r="92">
      <c r="A92" s="146"/>
      <c r="B92" s="155"/>
      <c r="C92" s="148">
        <v>46174.0</v>
      </c>
      <c r="D92" s="148">
        <v>46178.0</v>
      </c>
      <c r="E92" s="150">
        <f t="shared" si="1"/>
        <v>4</v>
      </c>
      <c r="F92" s="150">
        <v>30.0</v>
      </c>
      <c r="G92" s="157">
        <v>549.0</v>
      </c>
      <c r="H92" s="159">
        <v>11000.0</v>
      </c>
      <c r="I92" s="152">
        <f t="shared" si="2"/>
        <v>805200</v>
      </c>
      <c r="J92" s="146"/>
      <c r="K92" s="146"/>
      <c r="L92" s="146"/>
      <c r="M92" s="146"/>
      <c r="N92" s="146"/>
      <c r="O92" s="146"/>
      <c r="P92" s="146"/>
      <c r="Q92" s="146"/>
      <c r="R92" s="146"/>
    </row>
    <row r="93">
      <c r="A93" s="146"/>
      <c r="B93" s="155"/>
      <c r="C93" s="148">
        <v>46174.0</v>
      </c>
      <c r="D93" s="148">
        <v>46180.0</v>
      </c>
      <c r="E93" s="150">
        <f t="shared" si="1"/>
        <v>6</v>
      </c>
      <c r="F93" s="150">
        <v>30.0</v>
      </c>
      <c r="G93" s="157">
        <v>75.0</v>
      </c>
      <c r="H93" s="159">
        <v>11000.0</v>
      </c>
      <c r="I93" s="152">
        <f t="shared" si="2"/>
        <v>165000</v>
      </c>
      <c r="J93" s="146"/>
      <c r="K93" s="146"/>
      <c r="L93" s="146"/>
      <c r="M93" s="146"/>
      <c r="N93" s="146"/>
      <c r="O93" s="146"/>
      <c r="P93" s="146"/>
      <c r="Q93" s="146"/>
      <c r="R93" s="146"/>
    </row>
    <row r="94">
      <c r="A94" s="146"/>
      <c r="B94" s="155"/>
      <c r="C94" s="148">
        <v>46174.0</v>
      </c>
      <c r="D94" s="148">
        <v>46180.0</v>
      </c>
      <c r="E94" s="150">
        <f t="shared" si="1"/>
        <v>6</v>
      </c>
      <c r="F94" s="150">
        <v>30.0</v>
      </c>
      <c r="G94" s="157">
        <v>144.0</v>
      </c>
      <c r="H94" s="159">
        <v>11000.0</v>
      </c>
      <c r="I94" s="152">
        <f t="shared" si="2"/>
        <v>316800</v>
      </c>
      <c r="J94" s="146"/>
      <c r="K94" s="146"/>
      <c r="L94" s="146"/>
      <c r="M94" s="146"/>
      <c r="N94" s="146"/>
      <c r="O94" s="146"/>
      <c r="P94" s="146"/>
      <c r="Q94" s="146"/>
      <c r="R94" s="146"/>
    </row>
    <row r="95">
      <c r="A95" s="146"/>
      <c r="B95" s="155"/>
      <c r="C95" s="148">
        <v>46174.0</v>
      </c>
      <c r="D95" s="148">
        <v>46182.0</v>
      </c>
      <c r="E95" s="150">
        <f t="shared" si="1"/>
        <v>8</v>
      </c>
      <c r="F95" s="150">
        <v>30.0</v>
      </c>
      <c r="G95" s="157">
        <v>98.0</v>
      </c>
      <c r="H95" s="159">
        <v>11000.0</v>
      </c>
      <c r="I95" s="152">
        <f t="shared" si="2"/>
        <v>287466.6667</v>
      </c>
      <c r="J95" s="146"/>
      <c r="K95" s="146"/>
      <c r="L95" s="146"/>
      <c r="M95" s="146"/>
      <c r="N95" s="146"/>
      <c r="O95" s="146"/>
      <c r="P95" s="146"/>
      <c r="Q95" s="146"/>
      <c r="R95" s="146"/>
    </row>
    <row r="96">
      <c r="A96" s="146"/>
      <c r="B96" s="155"/>
      <c r="C96" s="148">
        <v>46174.0</v>
      </c>
      <c r="D96" s="148">
        <v>46183.0</v>
      </c>
      <c r="E96" s="150">
        <f t="shared" si="1"/>
        <v>9</v>
      </c>
      <c r="F96" s="150">
        <v>30.0</v>
      </c>
      <c r="G96" s="157">
        <v>507.0</v>
      </c>
      <c r="H96" s="159">
        <v>11000.0</v>
      </c>
      <c r="I96" s="152">
        <f t="shared" si="2"/>
        <v>1673100</v>
      </c>
      <c r="J96" s="146"/>
      <c r="K96" s="146"/>
      <c r="L96" s="146"/>
      <c r="M96" s="146"/>
      <c r="N96" s="146"/>
      <c r="O96" s="146"/>
      <c r="P96" s="146"/>
      <c r="Q96" s="146"/>
      <c r="R96" s="146"/>
    </row>
    <row r="97">
      <c r="A97" s="146"/>
      <c r="B97" s="155"/>
      <c r="C97" s="148">
        <v>46174.0</v>
      </c>
      <c r="D97" s="148">
        <v>46183.0</v>
      </c>
      <c r="E97" s="150">
        <f t="shared" si="1"/>
        <v>9</v>
      </c>
      <c r="F97" s="150">
        <v>30.0</v>
      </c>
      <c r="G97" s="157">
        <v>614.0</v>
      </c>
      <c r="H97" s="159">
        <v>11000.0</v>
      </c>
      <c r="I97" s="152">
        <f t="shared" si="2"/>
        <v>2026200</v>
      </c>
      <c r="J97" s="146"/>
      <c r="K97" s="146"/>
      <c r="L97" s="146"/>
      <c r="M97" s="146"/>
      <c r="N97" s="146"/>
      <c r="O97" s="146"/>
      <c r="P97" s="146"/>
      <c r="Q97" s="146"/>
      <c r="R97" s="146"/>
    </row>
    <row r="98">
      <c r="A98" s="146"/>
      <c r="B98" s="155"/>
      <c r="C98" s="148">
        <v>46174.0</v>
      </c>
      <c r="D98" s="148">
        <v>46184.0</v>
      </c>
      <c r="E98" s="150">
        <f t="shared" si="1"/>
        <v>10</v>
      </c>
      <c r="F98" s="150">
        <v>30.0</v>
      </c>
      <c r="G98" s="157">
        <v>98.0</v>
      </c>
      <c r="H98" s="159">
        <v>11000.0</v>
      </c>
      <c r="I98" s="152">
        <f t="shared" si="2"/>
        <v>359333.3333</v>
      </c>
      <c r="J98" s="146"/>
      <c r="K98" s="146"/>
      <c r="L98" s="146"/>
      <c r="M98" s="146"/>
      <c r="N98" s="146"/>
      <c r="O98" s="146"/>
      <c r="P98" s="146"/>
      <c r="Q98" s="146"/>
      <c r="R98" s="146"/>
    </row>
    <row r="99">
      <c r="A99" s="146"/>
      <c r="B99" s="155"/>
      <c r="C99" s="148">
        <v>46174.0</v>
      </c>
      <c r="D99" s="148">
        <v>46185.0</v>
      </c>
      <c r="E99" s="150">
        <f t="shared" si="1"/>
        <v>11</v>
      </c>
      <c r="F99" s="150">
        <v>30.0</v>
      </c>
      <c r="G99" s="157">
        <v>587.0</v>
      </c>
      <c r="H99" s="159">
        <v>11000.0</v>
      </c>
      <c r="I99" s="152">
        <f t="shared" si="2"/>
        <v>2367566.667</v>
      </c>
      <c r="J99" s="146"/>
      <c r="K99" s="146"/>
      <c r="L99" s="146"/>
      <c r="M99" s="146"/>
      <c r="N99" s="146"/>
      <c r="O99" s="146"/>
      <c r="P99" s="146"/>
      <c r="Q99" s="146"/>
      <c r="R99" s="146"/>
    </row>
    <row r="100">
      <c r="A100" s="146"/>
      <c r="B100" s="161"/>
      <c r="C100" s="148">
        <v>46174.0</v>
      </c>
      <c r="D100" s="148">
        <v>46188.0</v>
      </c>
      <c r="E100" s="150">
        <f t="shared" si="1"/>
        <v>14</v>
      </c>
      <c r="F100" s="150">
        <v>30.0</v>
      </c>
      <c r="G100" s="157">
        <v>893.0</v>
      </c>
      <c r="H100" s="159">
        <v>11000.0</v>
      </c>
      <c r="I100" s="152">
        <f t="shared" si="2"/>
        <v>4584066.667</v>
      </c>
      <c r="J100" s="146"/>
      <c r="K100" s="146"/>
      <c r="L100" s="146"/>
      <c r="M100" s="146"/>
      <c r="N100" s="146"/>
      <c r="O100" s="146"/>
      <c r="P100" s="146"/>
      <c r="Q100" s="146"/>
      <c r="R100" s="146"/>
    </row>
    <row r="101">
      <c r="A101" s="146"/>
      <c r="B101" s="147" t="s">
        <v>290</v>
      </c>
      <c r="C101" s="148">
        <v>46122.0</v>
      </c>
      <c r="D101" s="148">
        <v>46188.0</v>
      </c>
      <c r="E101" s="150">
        <f t="shared" si="1"/>
        <v>66</v>
      </c>
      <c r="F101" s="150">
        <v>30.0</v>
      </c>
      <c r="G101" s="159">
        <v>1300.0</v>
      </c>
      <c r="H101" s="159">
        <v>11000.0</v>
      </c>
      <c r="I101" s="152">
        <f t="shared" si="2"/>
        <v>31460000</v>
      </c>
      <c r="J101" s="146"/>
      <c r="K101" s="146"/>
      <c r="L101" s="146"/>
      <c r="M101" s="146"/>
      <c r="N101" s="146"/>
      <c r="O101" s="146"/>
      <c r="P101" s="146"/>
      <c r="Q101" s="146"/>
      <c r="R101" s="146"/>
    </row>
    <row r="102">
      <c r="A102" s="146"/>
      <c r="B102" s="155"/>
      <c r="C102" s="148">
        <v>46126.0</v>
      </c>
      <c r="D102" s="148">
        <v>46188.0</v>
      </c>
      <c r="E102" s="150">
        <f t="shared" si="1"/>
        <v>62</v>
      </c>
      <c r="F102" s="150">
        <v>30.0</v>
      </c>
      <c r="G102" s="159">
        <v>1300.0</v>
      </c>
      <c r="H102" s="159">
        <v>11000.0</v>
      </c>
      <c r="I102" s="152">
        <f t="shared" si="2"/>
        <v>29553333.33</v>
      </c>
      <c r="J102" s="146"/>
      <c r="K102" s="146"/>
      <c r="L102" s="146"/>
      <c r="M102" s="146"/>
      <c r="N102" s="146"/>
      <c r="O102" s="146"/>
      <c r="P102" s="146"/>
      <c r="Q102" s="146"/>
      <c r="R102" s="146"/>
    </row>
    <row r="103">
      <c r="A103" s="146"/>
      <c r="B103" s="155"/>
      <c r="C103" s="148">
        <v>46130.0</v>
      </c>
      <c r="D103" s="148">
        <v>46188.0</v>
      </c>
      <c r="E103" s="150">
        <f t="shared" si="1"/>
        <v>58</v>
      </c>
      <c r="F103" s="150">
        <v>30.0</v>
      </c>
      <c r="G103" s="157">
        <v>710.0</v>
      </c>
      <c r="H103" s="159">
        <v>11000.0</v>
      </c>
      <c r="I103" s="152">
        <f t="shared" si="2"/>
        <v>15099333.33</v>
      </c>
      <c r="J103" s="146"/>
      <c r="K103" s="146"/>
      <c r="L103" s="146"/>
      <c r="M103" s="146"/>
      <c r="N103" s="146"/>
      <c r="O103" s="146"/>
      <c r="P103" s="146"/>
      <c r="Q103" s="146"/>
      <c r="R103" s="146"/>
    </row>
    <row r="104">
      <c r="A104" s="146"/>
      <c r="B104" s="155"/>
      <c r="C104" s="148">
        <v>46131.0</v>
      </c>
      <c r="D104" s="148">
        <v>46188.0</v>
      </c>
      <c r="E104" s="150">
        <f t="shared" si="1"/>
        <v>57</v>
      </c>
      <c r="F104" s="150">
        <v>30.0</v>
      </c>
      <c r="G104" s="157">
        <v>650.0</v>
      </c>
      <c r="H104" s="159">
        <v>11000.0</v>
      </c>
      <c r="I104" s="152">
        <f t="shared" si="2"/>
        <v>13585000</v>
      </c>
      <c r="J104" s="146"/>
      <c r="K104" s="146"/>
      <c r="L104" s="146"/>
      <c r="M104" s="146"/>
      <c r="N104" s="146"/>
      <c r="O104" s="146"/>
      <c r="P104" s="146"/>
      <c r="Q104" s="146"/>
      <c r="R104" s="146"/>
    </row>
    <row r="105">
      <c r="A105" s="146"/>
      <c r="B105" s="155"/>
      <c r="C105" s="148">
        <v>46132.0</v>
      </c>
      <c r="D105" s="148">
        <v>46188.0</v>
      </c>
      <c r="E105" s="150">
        <f t="shared" si="1"/>
        <v>56</v>
      </c>
      <c r="F105" s="150">
        <v>30.0</v>
      </c>
      <c r="G105" s="157">
        <v>650.0</v>
      </c>
      <c r="H105" s="159">
        <v>11000.0</v>
      </c>
      <c r="I105" s="152">
        <f t="shared" si="2"/>
        <v>13346666.67</v>
      </c>
      <c r="J105" s="146"/>
      <c r="K105" s="146"/>
      <c r="L105" s="146"/>
      <c r="M105" s="146"/>
      <c r="N105" s="146"/>
      <c r="O105" s="146"/>
      <c r="P105" s="146"/>
      <c r="Q105" s="146"/>
      <c r="R105" s="146"/>
    </row>
    <row r="106">
      <c r="A106" s="146"/>
      <c r="B106" s="162"/>
      <c r="C106" s="148">
        <v>46174.0</v>
      </c>
      <c r="D106" s="148">
        <v>46176.0</v>
      </c>
      <c r="E106" s="150">
        <f t="shared" si="1"/>
        <v>2</v>
      </c>
      <c r="F106" s="150">
        <v>30.0</v>
      </c>
      <c r="G106" s="159">
        <v>1168.0</v>
      </c>
      <c r="H106" s="159">
        <v>11000.0</v>
      </c>
      <c r="I106" s="152">
        <f t="shared" si="2"/>
        <v>856533.3333</v>
      </c>
      <c r="J106" s="146"/>
      <c r="K106" s="146"/>
      <c r="L106" s="146"/>
      <c r="M106" s="146"/>
      <c r="N106" s="146"/>
      <c r="O106" s="146"/>
      <c r="P106" s="146"/>
      <c r="Q106" s="146"/>
      <c r="R106" s="146"/>
    </row>
    <row r="107">
      <c r="A107" s="146"/>
      <c r="B107" s="139"/>
      <c r="C107" s="148">
        <v>46174.0</v>
      </c>
      <c r="D107" s="148">
        <v>46177.0</v>
      </c>
      <c r="E107" s="150">
        <f t="shared" si="1"/>
        <v>3</v>
      </c>
      <c r="F107" s="150">
        <v>30.0</v>
      </c>
      <c r="G107" s="157">
        <v>447.0</v>
      </c>
      <c r="H107" s="159">
        <v>11000.0</v>
      </c>
      <c r="I107" s="152">
        <f t="shared" si="2"/>
        <v>491700</v>
      </c>
      <c r="J107" s="146"/>
      <c r="K107" s="146"/>
      <c r="L107" s="146"/>
      <c r="M107" s="146"/>
      <c r="N107" s="146"/>
      <c r="O107" s="146"/>
      <c r="P107" s="146"/>
      <c r="Q107" s="146"/>
      <c r="R107" s="146"/>
    </row>
    <row r="108">
      <c r="A108" s="146"/>
      <c r="B108" s="139"/>
      <c r="C108" s="148">
        <v>46174.0</v>
      </c>
      <c r="D108" s="148">
        <v>46178.0</v>
      </c>
      <c r="E108" s="150">
        <f t="shared" si="1"/>
        <v>4</v>
      </c>
      <c r="F108" s="150">
        <v>30.0</v>
      </c>
      <c r="G108" s="157">
        <v>120.0</v>
      </c>
      <c r="H108" s="159">
        <v>11000.0</v>
      </c>
      <c r="I108" s="152">
        <f t="shared" si="2"/>
        <v>176000</v>
      </c>
      <c r="J108" s="146"/>
      <c r="K108" s="146"/>
      <c r="L108" s="146"/>
      <c r="M108" s="146"/>
      <c r="N108" s="146"/>
      <c r="O108" s="146"/>
      <c r="P108" s="146"/>
      <c r="Q108" s="146"/>
      <c r="R108" s="146"/>
    </row>
    <row r="109">
      <c r="A109" s="146"/>
      <c r="B109" s="139"/>
      <c r="C109" s="148">
        <v>46174.0</v>
      </c>
      <c r="D109" s="148">
        <v>46178.0</v>
      </c>
      <c r="E109" s="150">
        <f t="shared" si="1"/>
        <v>4</v>
      </c>
      <c r="F109" s="150">
        <v>30.0</v>
      </c>
      <c r="G109" s="157">
        <v>169.0</v>
      </c>
      <c r="H109" s="159">
        <v>11000.0</v>
      </c>
      <c r="I109" s="152">
        <f t="shared" si="2"/>
        <v>247866.6667</v>
      </c>
      <c r="J109" s="146"/>
      <c r="K109" s="146"/>
      <c r="L109" s="146"/>
      <c r="M109" s="146"/>
      <c r="N109" s="146"/>
      <c r="O109" s="146"/>
      <c r="P109" s="146"/>
      <c r="Q109" s="146"/>
      <c r="R109" s="146"/>
    </row>
    <row r="110">
      <c r="A110" s="146"/>
      <c r="B110" s="139"/>
      <c r="C110" s="148">
        <v>46174.0</v>
      </c>
      <c r="D110" s="148">
        <v>46180.0</v>
      </c>
      <c r="E110" s="150">
        <f t="shared" si="1"/>
        <v>6</v>
      </c>
      <c r="F110" s="150">
        <v>30.0</v>
      </c>
      <c r="G110" s="157">
        <v>73.0</v>
      </c>
      <c r="H110" s="159">
        <v>11000.0</v>
      </c>
      <c r="I110" s="152">
        <f t="shared" si="2"/>
        <v>160600</v>
      </c>
      <c r="J110" s="146"/>
      <c r="K110" s="146"/>
      <c r="L110" s="146"/>
      <c r="M110" s="146"/>
      <c r="N110" s="146"/>
      <c r="O110" s="146"/>
      <c r="P110" s="146"/>
      <c r="Q110" s="146"/>
      <c r="R110" s="146"/>
    </row>
    <row r="111">
      <c r="A111" s="146"/>
      <c r="B111" s="139"/>
      <c r="C111" s="148">
        <v>46174.0</v>
      </c>
      <c r="D111" s="148">
        <v>46180.0</v>
      </c>
      <c r="E111" s="150">
        <f t="shared" si="1"/>
        <v>6</v>
      </c>
      <c r="F111" s="150">
        <v>30.0</v>
      </c>
      <c r="G111" s="157">
        <v>87.0</v>
      </c>
      <c r="H111" s="159">
        <v>11000.0</v>
      </c>
      <c r="I111" s="152">
        <f t="shared" si="2"/>
        <v>191400</v>
      </c>
      <c r="J111" s="146"/>
      <c r="K111" s="146"/>
      <c r="L111" s="146"/>
      <c r="M111" s="146"/>
      <c r="N111" s="146"/>
      <c r="O111" s="146"/>
      <c r="P111" s="146"/>
      <c r="Q111" s="146"/>
      <c r="R111" s="146"/>
    </row>
    <row r="112">
      <c r="A112" s="146"/>
      <c r="B112" s="139"/>
      <c r="C112" s="148">
        <v>46174.0</v>
      </c>
      <c r="D112" s="148">
        <v>46182.0</v>
      </c>
      <c r="E112" s="150">
        <f t="shared" si="1"/>
        <v>8</v>
      </c>
      <c r="F112" s="150">
        <v>30.0</v>
      </c>
      <c r="G112" s="157">
        <v>2.0</v>
      </c>
      <c r="H112" s="159">
        <v>11000.0</v>
      </c>
      <c r="I112" s="152">
        <f t="shared" si="2"/>
        <v>5866.666667</v>
      </c>
      <c r="J112" s="146"/>
      <c r="K112" s="146"/>
      <c r="L112" s="146"/>
      <c r="M112" s="146"/>
      <c r="N112" s="146"/>
      <c r="O112" s="146"/>
      <c r="P112" s="146"/>
      <c r="Q112" s="146"/>
      <c r="R112" s="146"/>
    </row>
    <row r="113">
      <c r="A113" s="146"/>
      <c r="B113" s="139"/>
      <c r="C113" s="148">
        <v>46174.0</v>
      </c>
      <c r="D113" s="148">
        <v>46182.0</v>
      </c>
      <c r="E113" s="150">
        <f t="shared" si="1"/>
        <v>8</v>
      </c>
      <c r="F113" s="150">
        <v>30.0</v>
      </c>
      <c r="G113" s="157">
        <v>97.0</v>
      </c>
      <c r="H113" s="159">
        <v>11000.0</v>
      </c>
      <c r="I113" s="152">
        <f t="shared" si="2"/>
        <v>284533.3333</v>
      </c>
      <c r="J113" s="146"/>
      <c r="K113" s="146"/>
      <c r="L113" s="146"/>
      <c r="M113" s="146"/>
      <c r="N113" s="146"/>
      <c r="O113" s="146"/>
      <c r="P113" s="146"/>
      <c r="Q113" s="146"/>
      <c r="R113" s="146"/>
    </row>
    <row r="114">
      <c r="A114" s="146"/>
      <c r="B114" s="139"/>
      <c r="C114" s="148">
        <v>46174.0</v>
      </c>
      <c r="D114" s="148">
        <v>46183.0</v>
      </c>
      <c r="E114" s="150">
        <f t="shared" si="1"/>
        <v>9</v>
      </c>
      <c r="F114" s="150">
        <v>30.0</v>
      </c>
      <c r="G114" s="157">
        <v>642.0</v>
      </c>
      <c r="H114" s="159">
        <v>11000.0</v>
      </c>
      <c r="I114" s="152">
        <f t="shared" si="2"/>
        <v>2118600</v>
      </c>
      <c r="J114" s="146"/>
      <c r="K114" s="146"/>
      <c r="L114" s="146"/>
      <c r="M114" s="146"/>
      <c r="N114" s="146"/>
      <c r="O114" s="146"/>
      <c r="P114" s="146"/>
      <c r="Q114" s="146"/>
      <c r="R114" s="146"/>
    </row>
    <row r="115">
      <c r="A115" s="146"/>
      <c r="B115" s="139"/>
      <c r="C115" s="148">
        <v>46174.0</v>
      </c>
      <c r="D115" s="148">
        <v>46183.0</v>
      </c>
      <c r="E115" s="150">
        <f t="shared" si="1"/>
        <v>9</v>
      </c>
      <c r="F115" s="150">
        <v>30.0</v>
      </c>
      <c r="G115" s="157">
        <v>292.0</v>
      </c>
      <c r="H115" s="159">
        <v>11000.0</v>
      </c>
      <c r="I115" s="152">
        <f t="shared" si="2"/>
        <v>963600</v>
      </c>
      <c r="J115" s="146"/>
      <c r="K115" s="146"/>
      <c r="L115" s="146"/>
      <c r="M115" s="146"/>
      <c r="N115" s="146"/>
      <c r="O115" s="146"/>
      <c r="P115" s="146"/>
      <c r="Q115" s="146"/>
      <c r="R115" s="146"/>
    </row>
    <row r="116">
      <c r="A116" s="146"/>
      <c r="B116" s="139"/>
      <c r="C116" s="148">
        <v>46174.0</v>
      </c>
      <c r="D116" s="148">
        <v>46184.0</v>
      </c>
      <c r="E116" s="150">
        <f t="shared" si="1"/>
        <v>10</v>
      </c>
      <c r="F116" s="150">
        <v>30.0</v>
      </c>
      <c r="G116" s="157">
        <v>117.0</v>
      </c>
      <c r="H116" s="159">
        <v>11000.0</v>
      </c>
      <c r="I116" s="152">
        <f t="shared" si="2"/>
        <v>429000</v>
      </c>
      <c r="J116" s="146"/>
      <c r="K116" s="146"/>
      <c r="L116" s="146"/>
      <c r="M116" s="146"/>
      <c r="N116" s="146"/>
      <c r="O116" s="146"/>
      <c r="P116" s="146"/>
      <c r="Q116" s="146"/>
      <c r="R116" s="146"/>
    </row>
    <row r="117">
      <c r="A117" s="146"/>
      <c r="B117" s="139"/>
      <c r="C117" s="148">
        <v>46174.0</v>
      </c>
      <c r="D117" s="148">
        <v>46185.0</v>
      </c>
      <c r="E117" s="150">
        <f t="shared" si="1"/>
        <v>11</v>
      </c>
      <c r="F117" s="150">
        <v>30.0</v>
      </c>
      <c r="G117" s="157">
        <v>397.0</v>
      </c>
      <c r="H117" s="159">
        <v>11000.0</v>
      </c>
      <c r="I117" s="152">
        <f t="shared" si="2"/>
        <v>1601233.333</v>
      </c>
      <c r="J117" s="146"/>
      <c r="K117" s="146"/>
      <c r="L117" s="146"/>
      <c r="M117" s="146"/>
      <c r="N117" s="146"/>
      <c r="O117" s="146"/>
      <c r="P117" s="146"/>
      <c r="Q117" s="146"/>
      <c r="R117" s="146"/>
    </row>
    <row r="118">
      <c r="A118" s="146"/>
      <c r="B118" s="139"/>
      <c r="C118" s="148">
        <v>46174.0</v>
      </c>
      <c r="D118" s="148">
        <v>46188.0</v>
      </c>
      <c r="E118" s="150">
        <f t="shared" si="1"/>
        <v>14</v>
      </c>
      <c r="F118" s="150">
        <v>30.0</v>
      </c>
      <c r="G118" s="157">
        <v>999.0</v>
      </c>
      <c r="H118" s="159">
        <v>11000.0</v>
      </c>
      <c r="I118" s="152">
        <f t="shared" si="2"/>
        <v>5128200</v>
      </c>
      <c r="J118" s="146"/>
      <c r="K118" s="146"/>
      <c r="L118" s="146"/>
      <c r="M118" s="146"/>
      <c r="N118" s="146"/>
      <c r="O118" s="146"/>
      <c r="P118" s="146"/>
      <c r="Q118" s="146"/>
      <c r="R118" s="146"/>
    </row>
    <row r="119">
      <c r="A119" s="163"/>
      <c r="B119" s="164"/>
      <c r="C119" s="165"/>
      <c r="D119" s="165"/>
      <c r="E119" s="165"/>
      <c r="F119" s="165"/>
      <c r="G119" s="166" t="s">
        <v>256</v>
      </c>
      <c r="H119" s="45"/>
      <c r="I119" s="167">
        <f>SUM(I11:I118)</f>
        <v>531506989</v>
      </c>
      <c r="J119" s="163"/>
      <c r="K119" s="163"/>
      <c r="L119" s="163"/>
      <c r="M119" s="163"/>
      <c r="N119" s="163"/>
      <c r="O119" s="163"/>
      <c r="P119" s="163"/>
      <c r="Q119" s="163"/>
      <c r="R119" s="163"/>
    </row>
    <row r="120">
      <c r="A120" s="168"/>
      <c r="B120" s="164"/>
      <c r="C120" s="165"/>
      <c r="D120" s="165"/>
      <c r="E120" s="165"/>
      <c r="F120" s="165"/>
      <c r="G120" s="169" t="s">
        <v>291</v>
      </c>
      <c r="H120" s="45"/>
      <c r="I120" s="170">
        <f>I119*11/12</f>
        <v>487214739.9</v>
      </c>
      <c r="J120" s="168"/>
      <c r="K120" s="168"/>
      <c r="L120" s="168"/>
      <c r="M120" s="168"/>
      <c r="N120" s="168"/>
      <c r="O120" s="168"/>
      <c r="P120" s="168"/>
      <c r="Q120" s="168"/>
      <c r="R120" s="168"/>
    </row>
    <row r="121">
      <c r="A121" s="168"/>
      <c r="B121" s="164"/>
      <c r="C121" s="165"/>
      <c r="D121" s="165"/>
      <c r="E121" s="165"/>
      <c r="F121" s="165"/>
      <c r="G121" s="169" t="s">
        <v>292</v>
      </c>
      <c r="H121" s="45"/>
      <c r="I121" s="170">
        <f>I120*12%</f>
        <v>58465768.79</v>
      </c>
      <c r="J121" s="168"/>
      <c r="K121" s="168"/>
      <c r="L121" s="168"/>
      <c r="M121" s="168"/>
      <c r="N121" s="168"/>
      <c r="O121" s="168"/>
      <c r="P121" s="168"/>
      <c r="Q121" s="168"/>
      <c r="R121" s="168"/>
    </row>
    <row r="122">
      <c r="A122" s="168"/>
      <c r="B122" s="164"/>
      <c r="C122" s="165"/>
      <c r="D122" s="165"/>
      <c r="E122" s="165"/>
      <c r="F122" s="165"/>
      <c r="G122" s="166" t="s">
        <v>256</v>
      </c>
      <c r="H122" s="45"/>
      <c r="I122" s="170">
        <f>I121+I120</f>
        <v>545680508.7</v>
      </c>
      <c r="J122" s="168"/>
      <c r="K122" s="168"/>
      <c r="L122" s="168"/>
      <c r="M122" s="168"/>
      <c r="N122" s="168"/>
      <c r="O122" s="168"/>
      <c r="P122" s="168"/>
      <c r="Q122" s="168"/>
      <c r="R122" s="168"/>
    </row>
    <row r="123">
      <c r="A123" s="168"/>
      <c r="B123" s="168"/>
      <c r="C123" s="171"/>
      <c r="D123" s="171"/>
      <c r="E123" s="171"/>
      <c r="F123" s="168"/>
      <c r="G123" s="168"/>
      <c r="H123" s="172"/>
      <c r="I123" s="172"/>
      <c r="J123" s="168"/>
      <c r="K123" s="168"/>
      <c r="L123" s="168"/>
      <c r="M123" s="168"/>
      <c r="N123" s="168"/>
      <c r="O123" s="168"/>
      <c r="P123" s="168"/>
      <c r="Q123" s="168"/>
      <c r="R123" s="168"/>
    </row>
  </sheetData>
  <mergeCells count="13">
    <mergeCell ref="B8:B9"/>
    <mergeCell ref="B106:B118"/>
    <mergeCell ref="G119:H119"/>
    <mergeCell ref="G120:H120"/>
    <mergeCell ref="G121:H121"/>
    <mergeCell ref="G122:H122"/>
    <mergeCell ref="B1:I1"/>
    <mergeCell ref="C8:D8"/>
    <mergeCell ref="E8:E9"/>
    <mergeCell ref="F8:F9"/>
    <mergeCell ref="G8:G9"/>
    <mergeCell ref="H8:H9"/>
    <mergeCell ref="I8:I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173" t="s">
        <v>293</v>
      </c>
      <c r="I1" s="110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</row>
    <row r="2">
      <c r="A2" s="173" t="s">
        <v>294</v>
      </c>
      <c r="I2" s="110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>
      <c r="A3" s="174"/>
      <c r="B3" s="175" t="s">
        <v>295</v>
      </c>
      <c r="C3" s="175" t="s">
        <v>296</v>
      </c>
      <c r="D3" s="175" t="s">
        <v>297</v>
      </c>
      <c r="E3" s="175" t="s">
        <v>298</v>
      </c>
      <c r="F3" s="175" t="s">
        <v>299</v>
      </c>
      <c r="G3" s="175" t="s">
        <v>300</v>
      </c>
      <c r="H3" s="175" t="s">
        <v>301</v>
      </c>
      <c r="I3" s="176"/>
      <c r="J3" s="177"/>
      <c r="K3" s="177"/>
      <c r="L3" s="177"/>
      <c r="M3" s="177"/>
      <c r="N3" s="177"/>
      <c r="O3" s="177"/>
      <c r="P3" s="177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6"/>
      <c r="AX3" s="6"/>
      <c r="AY3" s="6"/>
      <c r="AZ3" s="6"/>
      <c r="BA3" s="6"/>
      <c r="BB3" s="6"/>
      <c r="BC3" s="6"/>
      <c r="BD3" s="6"/>
      <c r="BE3" s="6"/>
      <c r="BF3" s="6"/>
    </row>
    <row r="4">
      <c r="A4" s="178"/>
      <c r="B4" s="179"/>
      <c r="C4" s="180"/>
      <c r="D4" s="180"/>
      <c r="E4" s="180"/>
      <c r="F4" s="180"/>
      <c r="G4" s="180"/>
      <c r="H4" s="180"/>
      <c r="I4" s="110"/>
      <c r="J4" s="181"/>
      <c r="K4" s="181"/>
      <c r="L4" s="181"/>
      <c r="M4" s="181"/>
      <c r="N4" s="181"/>
      <c r="O4" s="181"/>
      <c r="P4" s="181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6"/>
      <c r="AX4" s="6"/>
      <c r="AY4" s="6"/>
      <c r="AZ4" s="6"/>
      <c r="BA4" s="6"/>
      <c r="BB4" s="6"/>
      <c r="BC4" s="6"/>
      <c r="BD4" s="6"/>
      <c r="BE4" s="6"/>
      <c r="BF4" s="6"/>
    </row>
    <row r="5">
      <c r="A5" s="182">
        <v>46116.0</v>
      </c>
      <c r="B5" s="183" t="s">
        <v>302</v>
      </c>
      <c r="C5" s="184">
        <v>200.0</v>
      </c>
      <c r="D5" s="184">
        <v>2500.0</v>
      </c>
      <c r="E5" s="185"/>
      <c r="F5" s="184">
        <v>16.0</v>
      </c>
      <c r="G5" s="185"/>
      <c r="H5" s="185"/>
      <c r="I5" s="110"/>
      <c r="J5" s="110"/>
      <c r="K5" s="110"/>
      <c r="L5" s="110"/>
      <c r="M5" s="110"/>
      <c r="N5" s="110"/>
      <c r="O5" s="110"/>
      <c r="P5" s="186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6"/>
      <c r="AX5" s="6"/>
      <c r="AY5" s="6"/>
      <c r="AZ5" s="6"/>
      <c r="BA5" s="6"/>
      <c r="BB5" s="6"/>
      <c r="BC5" s="6"/>
      <c r="BD5" s="6"/>
      <c r="BE5" s="6"/>
      <c r="BF5" s="6"/>
    </row>
    <row r="6">
      <c r="A6" s="182">
        <v>46117.0</v>
      </c>
      <c r="B6" s="183" t="s">
        <v>303</v>
      </c>
      <c r="C6" s="184">
        <v>400.0</v>
      </c>
      <c r="D6" s="184">
        <v>2000.0</v>
      </c>
      <c r="E6" s="187"/>
      <c r="F6" s="184">
        <v>12.0</v>
      </c>
      <c r="G6" s="187"/>
      <c r="H6" s="187"/>
      <c r="I6" s="188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6"/>
      <c r="AX6" s="6"/>
      <c r="AY6" s="6"/>
      <c r="AZ6" s="6"/>
      <c r="BA6" s="6"/>
      <c r="BB6" s="6"/>
      <c r="BC6" s="6"/>
      <c r="BD6" s="6"/>
      <c r="BE6" s="6"/>
      <c r="BF6" s="6"/>
    </row>
    <row r="7">
      <c r="A7" s="182">
        <v>46117.0</v>
      </c>
      <c r="B7" s="183" t="s">
        <v>304</v>
      </c>
      <c r="C7" s="184">
        <v>1250.0</v>
      </c>
      <c r="D7" s="184">
        <v>1444.0</v>
      </c>
      <c r="E7" s="184">
        <v>1.0</v>
      </c>
      <c r="F7" s="184">
        <v>23.0</v>
      </c>
      <c r="G7" s="187"/>
      <c r="H7" s="187"/>
      <c r="I7" s="188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6"/>
      <c r="AX7" s="6"/>
      <c r="AY7" s="6"/>
      <c r="AZ7" s="6"/>
      <c r="BA7" s="6"/>
      <c r="BB7" s="6"/>
      <c r="BC7" s="6"/>
      <c r="BD7" s="6"/>
      <c r="BE7" s="6"/>
      <c r="BF7" s="6"/>
    </row>
    <row r="8">
      <c r="A8" s="189">
        <v>46117.0</v>
      </c>
      <c r="B8" s="183" t="s">
        <v>305</v>
      </c>
      <c r="C8" s="184">
        <v>2100.0</v>
      </c>
      <c r="D8" s="187"/>
      <c r="E8" s="184">
        <v>450.0</v>
      </c>
      <c r="F8" s="187"/>
      <c r="G8" s="187"/>
      <c r="H8" s="187"/>
      <c r="I8" s="188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6"/>
      <c r="AX8" s="6"/>
      <c r="AY8" s="6"/>
      <c r="AZ8" s="6"/>
      <c r="BA8" s="6"/>
      <c r="BB8" s="6"/>
      <c r="BC8" s="6"/>
      <c r="BD8" s="6"/>
      <c r="BE8" s="6"/>
      <c r="BF8" s="6"/>
    </row>
    <row r="9">
      <c r="A9" s="189">
        <v>46122.0</v>
      </c>
      <c r="B9" s="183" t="s">
        <v>306</v>
      </c>
      <c r="C9" s="184">
        <v>26.0</v>
      </c>
      <c r="D9" s="187"/>
      <c r="E9" s="184">
        <v>600.0</v>
      </c>
      <c r="F9" s="184">
        <v>27.0</v>
      </c>
      <c r="G9" s="184">
        <v>1300.0</v>
      </c>
      <c r="H9" s="184">
        <v>1300.0</v>
      </c>
      <c r="I9" s="188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6"/>
      <c r="AX9" s="6"/>
      <c r="AY9" s="6"/>
      <c r="AZ9" s="6"/>
      <c r="BA9" s="6"/>
      <c r="BB9" s="6"/>
      <c r="BC9" s="6"/>
      <c r="BD9" s="6"/>
      <c r="BE9" s="6"/>
      <c r="BF9" s="6"/>
    </row>
    <row r="10">
      <c r="A10" s="189">
        <v>46126.0</v>
      </c>
      <c r="B10" s="183" t="s">
        <v>307</v>
      </c>
      <c r="C10" s="184">
        <v>25.0</v>
      </c>
      <c r="D10" s="187"/>
      <c r="E10" s="184">
        <v>654.0</v>
      </c>
      <c r="F10" s="184">
        <v>20.0</v>
      </c>
      <c r="G10" s="184">
        <v>1300.0</v>
      </c>
      <c r="H10" s="184">
        <v>1300.0</v>
      </c>
      <c r="I10" s="188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6"/>
      <c r="AX10" s="6"/>
      <c r="AY10" s="6"/>
      <c r="AZ10" s="6"/>
      <c r="BA10" s="6"/>
      <c r="BB10" s="6"/>
      <c r="BC10" s="6"/>
      <c r="BD10" s="6"/>
      <c r="BE10" s="6"/>
      <c r="BF10" s="6"/>
    </row>
    <row r="11">
      <c r="A11" s="189">
        <v>46130.0</v>
      </c>
      <c r="B11" s="183" t="s">
        <v>308</v>
      </c>
      <c r="C11" s="184">
        <v>24.0</v>
      </c>
      <c r="D11" s="187"/>
      <c r="E11" s="184">
        <v>1000.0</v>
      </c>
      <c r="F11" s="184">
        <v>20.0</v>
      </c>
      <c r="G11" s="184">
        <v>1000.0</v>
      </c>
      <c r="H11" s="184">
        <v>710.0</v>
      </c>
      <c r="I11" s="188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6"/>
      <c r="AX11" s="6"/>
      <c r="AY11" s="6"/>
      <c r="AZ11" s="6"/>
      <c r="BA11" s="6"/>
      <c r="BB11" s="6"/>
      <c r="BC11" s="6"/>
      <c r="BD11" s="6"/>
      <c r="BE11" s="6"/>
      <c r="BF11" s="6"/>
    </row>
    <row r="12">
      <c r="A12" s="189">
        <v>46131.0</v>
      </c>
      <c r="B12" s="183" t="s">
        <v>309</v>
      </c>
      <c r="C12" s="184">
        <v>25.0</v>
      </c>
      <c r="D12" s="187"/>
      <c r="E12" s="184">
        <v>1500.0</v>
      </c>
      <c r="F12" s="184">
        <v>20.0</v>
      </c>
      <c r="G12" s="184">
        <v>650.0</v>
      </c>
      <c r="H12" s="184">
        <v>650.0</v>
      </c>
      <c r="I12" s="188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6"/>
      <c r="AX12" s="6"/>
      <c r="AY12" s="6"/>
      <c r="AZ12" s="6"/>
      <c r="BA12" s="6"/>
      <c r="BB12" s="6"/>
      <c r="BC12" s="6"/>
      <c r="BD12" s="6"/>
      <c r="BE12" s="6"/>
      <c r="BF12" s="6"/>
    </row>
    <row r="13">
      <c r="A13" s="189">
        <v>46132.0</v>
      </c>
      <c r="B13" s="183" t="s">
        <v>310</v>
      </c>
      <c r="C13" s="184">
        <v>25.0</v>
      </c>
      <c r="D13" s="187"/>
      <c r="E13" s="184">
        <v>1500.0</v>
      </c>
      <c r="F13" s="184">
        <v>20.0</v>
      </c>
      <c r="G13" s="184">
        <v>650.0</v>
      </c>
      <c r="H13" s="184">
        <v>650.0</v>
      </c>
      <c r="I13" s="188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6"/>
      <c r="AX13" s="6"/>
      <c r="AY13" s="6"/>
      <c r="AZ13" s="6"/>
      <c r="BA13" s="6"/>
      <c r="BB13" s="6"/>
      <c r="BC13" s="6"/>
      <c r="BD13" s="6"/>
      <c r="BE13" s="6"/>
      <c r="BF13" s="6"/>
    </row>
    <row r="14">
      <c r="A14" s="189">
        <v>46135.0</v>
      </c>
      <c r="B14" s="183" t="s">
        <v>311</v>
      </c>
      <c r="C14" s="184">
        <v>20.0</v>
      </c>
      <c r="D14" s="187"/>
      <c r="E14" s="184">
        <v>2000.0</v>
      </c>
      <c r="F14" s="184">
        <v>16.0</v>
      </c>
      <c r="G14" s="187"/>
      <c r="H14" s="187"/>
      <c r="I14" s="188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6"/>
      <c r="AX14" s="6"/>
      <c r="AY14" s="6"/>
      <c r="AZ14" s="6"/>
      <c r="BA14" s="6"/>
      <c r="BB14" s="6"/>
      <c r="BC14" s="6"/>
      <c r="BD14" s="6"/>
      <c r="BE14" s="6"/>
      <c r="BF14" s="6"/>
    </row>
    <row r="15">
      <c r="A15" s="189">
        <v>46136.0</v>
      </c>
      <c r="B15" s="183" t="s">
        <v>312</v>
      </c>
      <c r="C15" s="184">
        <v>25.0</v>
      </c>
      <c r="D15" s="187"/>
      <c r="E15" s="184">
        <v>2500.0</v>
      </c>
      <c r="F15" s="184">
        <v>20.0</v>
      </c>
      <c r="G15" s="187"/>
      <c r="H15" s="187"/>
      <c r="I15" s="188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6"/>
      <c r="AX15" s="6"/>
      <c r="AY15" s="6"/>
      <c r="AZ15" s="6"/>
      <c r="BA15" s="6"/>
      <c r="BB15" s="6"/>
      <c r="BC15" s="6"/>
      <c r="BD15" s="6"/>
      <c r="BE15" s="6"/>
      <c r="BF15" s="6"/>
    </row>
    <row r="16">
      <c r="A16" s="190" t="s">
        <v>313</v>
      </c>
      <c r="B16" s="46"/>
      <c r="C16" s="191">
        <f t="shared" ref="C16:H16" si="1">SUM(C5:C15)</f>
        <v>4120</v>
      </c>
      <c r="D16" s="191">
        <f t="shared" si="1"/>
        <v>5944</v>
      </c>
      <c r="E16" s="191">
        <f t="shared" si="1"/>
        <v>10205</v>
      </c>
      <c r="F16" s="191">
        <f t="shared" si="1"/>
        <v>194</v>
      </c>
      <c r="G16" s="191">
        <f t="shared" si="1"/>
        <v>4900</v>
      </c>
      <c r="H16" s="191">
        <f t="shared" si="1"/>
        <v>4610</v>
      </c>
      <c r="I16" s="188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6"/>
      <c r="AX16" s="6"/>
      <c r="AY16" s="6"/>
      <c r="AZ16" s="6"/>
      <c r="BA16" s="6"/>
      <c r="BB16" s="6"/>
      <c r="BC16" s="6"/>
      <c r="BD16" s="6"/>
      <c r="BE16" s="6"/>
      <c r="BF16" s="6"/>
    </row>
    <row r="17">
      <c r="A17" s="192" t="s">
        <v>314</v>
      </c>
      <c r="B17" s="193"/>
      <c r="C17" s="194"/>
      <c r="D17" s="195"/>
      <c r="E17" s="195"/>
      <c r="F17" s="195"/>
      <c r="G17" s="195"/>
      <c r="H17" s="195"/>
      <c r="I17" s="188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6"/>
      <c r="AX17" s="6"/>
      <c r="AY17" s="6"/>
      <c r="AZ17" s="6"/>
      <c r="BA17" s="6"/>
      <c r="BB17" s="6"/>
      <c r="BC17" s="6"/>
      <c r="BD17" s="6"/>
      <c r="BE17" s="6"/>
      <c r="BF17" s="6"/>
    </row>
    <row r="18">
      <c r="A18" s="196"/>
      <c r="B18" s="193"/>
      <c r="C18" s="194"/>
      <c r="D18" s="195"/>
      <c r="E18" s="195"/>
      <c r="F18" s="195"/>
      <c r="G18" s="195"/>
      <c r="H18" s="195"/>
      <c r="I18" s="188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6"/>
      <c r="AX18" s="6"/>
      <c r="AY18" s="6"/>
      <c r="AZ18" s="6"/>
      <c r="BA18" s="6"/>
      <c r="BB18" s="6"/>
      <c r="BC18" s="6"/>
      <c r="BD18" s="6"/>
      <c r="BE18" s="6"/>
      <c r="BF18" s="6"/>
    </row>
    <row r="19">
      <c r="A19" s="189">
        <v>46175.0</v>
      </c>
      <c r="B19" s="183" t="s">
        <v>315</v>
      </c>
      <c r="C19" s="184">
        <v>466.0</v>
      </c>
      <c r="D19" s="184">
        <v>598.0</v>
      </c>
      <c r="E19" s="184">
        <v>1650.0</v>
      </c>
      <c r="F19" s="187"/>
      <c r="G19" s="187"/>
      <c r="H19" s="187"/>
      <c r="I19" s="188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6"/>
      <c r="AX19" s="6"/>
      <c r="AY19" s="6"/>
      <c r="AZ19" s="6"/>
      <c r="BA19" s="6"/>
      <c r="BB19" s="6"/>
      <c r="BC19" s="6"/>
      <c r="BD19" s="6"/>
      <c r="BE19" s="6"/>
      <c r="BF19" s="6"/>
    </row>
    <row r="20">
      <c r="A20" s="182">
        <v>46176.0</v>
      </c>
      <c r="B20" s="183" t="s">
        <v>316</v>
      </c>
      <c r="C20" s="185"/>
      <c r="D20" s="185"/>
      <c r="E20" s="185"/>
      <c r="F20" s="185"/>
      <c r="G20" s="184">
        <v>602.0</v>
      </c>
      <c r="H20" s="184">
        <v>1168.0</v>
      </c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6"/>
      <c r="AX20" s="6"/>
      <c r="AY20" s="6"/>
      <c r="AZ20" s="6"/>
      <c r="BA20" s="6"/>
      <c r="BB20" s="6"/>
      <c r="BC20" s="6"/>
      <c r="BD20" s="6"/>
      <c r="BE20" s="6"/>
      <c r="BF20" s="6"/>
    </row>
    <row r="21">
      <c r="A21" s="182">
        <v>46177.0</v>
      </c>
      <c r="B21" s="183" t="s">
        <v>317</v>
      </c>
      <c r="C21" s="184">
        <v>132.0</v>
      </c>
      <c r="D21" s="184">
        <v>163.0</v>
      </c>
      <c r="E21" s="184">
        <v>461.0</v>
      </c>
      <c r="F21" s="185"/>
      <c r="G21" s="184">
        <v>360.0</v>
      </c>
      <c r="H21" s="184">
        <v>447.0</v>
      </c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6"/>
      <c r="AX21" s="6"/>
      <c r="AY21" s="6"/>
      <c r="AZ21" s="6"/>
      <c r="BA21" s="6"/>
      <c r="BB21" s="6"/>
      <c r="BC21" s="6"/>
      <c r="BD21" s="6"/>
      <c r="BE21" s="6"/>
      <c r="BF21" s="6"/>
    </row>
    <row r="22">
      <c r="A22" s="182">
        <v>46178.0</v>
      </c>
      <c r="B22" s="183" t="s">
        <v>318</v>
      </c>
      <c r="C22" s="185"/>
      <c r="D22" s="185"/>
      <c r="E22" s="184">
        <v>1492.0</v>
      </c>
      <c r="F22" s="185"/>
      <c r="G22" s="184">
        <v>373.0</v>
      </c>
      <c r="H22" s="184">
        <v>120.0</v>
      </c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6"/>
      <c r="AX22" s="6"/>
      <c r="AY22" s="6"/>
      <c r="AZ22" s="6"/>
      <c r="BA22" s="6"/>
      <c r="BB22" s="6"/>
      <c r="BC22" s="6"/>
      <c r="BD22" s="6"/>
      <c r="BE22" s="6"/>
      <c r="BF22" s="6"/>
    </row>
    <row r="23">
      <c r="A23" s="182">
        <v>46179.0</v>
      </c>
      <c r="B23" s="183" t="s">
        <v>319</v>
      </c>
      <c r="C23" s="184">
        <v>194.0</v>
      </c>
      <c r="D23" s="184">
        <v>421.0</v>
      </c>
      <c r="E23" s="184">
        <v>12.0</v>
      </c>
      <c r="F23" s="187"/>
      <c r="G23" s="184">
        <v>549.0</v>
      </c>
      <c r="H23" s="184">
        <v>169.0</v>
      </c>
      <c r="I23" s="188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6"/>
      <c r="AX23" s="6"/>
      <c r="AY23" s="6"/>
      <c r="AZ23" s="6"/>
      <c r="BA23" s="6"/>
      <c r="BB23" s="6"/>
      <c r="BC23" s="6"/>
      <c r="BD23" s="6"/>
      <c r="BE23" s="6"/>
      <c r="BF23" s="6"/>
    </row>
    <row r="24">
      <c r="A24" s="182">
        <v>46180.0</v>
      </c>
      <c r="B24" s="183" t="s">
        <v>320</v>
      </c>
      <c r="C24" s="184">
        <v>195.0</v>
      </c>
      <c r="D24" s="184">
        <v>410.0</v>
      </c>
      <c r="E24" s="184">
        <v>1291.0</v>
      </c>
      <c r="F24" s="187"/>
      <c r="G24" s="184">
        <v>75.0</v>
      </c>
      <c r="H24" s="184">
        <v>73.0</v>
      </c>
      <c r="I24" s="188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6"/>
      <c r="AX24" s="6"/>
      <c r="AY24" s="6"/>
      <c r="AZ24" s="6"/>
      <c r="BA24" s="6"/>
      <c r="BB24" s="6"/>
      <c r="BC24" s="6"/>
      <c r="BD24" s="6"/>
      <c r="BE24" s="6"/>
      <c r="BF24" s="6"/>
    </row>
    <row r="25">
      <c r="A25" s="189">
        <v>46180.0</v>
      </c>
      <c r="B25" s="183" t="s">
        <v>321</v>
      </c>
      <c r="C25" s="184">
        <v>4.0</v>
      </c>
      <c r="D25" s="184">
        <v>376.0</v>
      </c>
      <c r="E25" s="184">
        <v>1508.0</v>
      </c>
      <c r="F25" s="187"/>
      <c r="G25" s="184">
        <v>144.0</v>
      </c>
      <c r="H25" s="184">
        <v>87.0</v>
      </c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6"/>
      <c r="AX25" s="6"/>
      <c r="AY25" s="6"/>
      <c r="AZ25" s="6"/>
      <c r="BA25" s="6"/>
      <c r="BB25" s="6"/>
      <c r="BC25" s="6"/>
      <c r="BD25" s="6"/>
      <c r="BE25" s="6"/>
      <c r="BF25" s="6"/>
    </row>
    <row r="26">
      <c r="A26" s="189">
        <v>46181.0</v>
      </c>
      <c r="B26" s="183" t="s">
        <v>322</v>
      </c>
      <c r="C26" s="184">
        <v>214.0</v>
      </c>
      <c r="D26" s="184">
        <v>597.0</v>
      </c>
      <c r="E26" s="184">
        <v>1400.0</v>
      </c>
      <c r="F26" s="187"/>
      <c r="G26" s="185"/>
      <c r="H26" s="187"/>
      <c r="I26" s="188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6"/>
      <c r="AX26" s="6"/>
      <c r="AY26" s="6"/>
      <c r="AZ26" s="6"/>
      <c r="BA26" s="6"/>
      <c r="BB26" s="6"/>
      <c r="BC26" s="6"/>
      <c r="BD26" s="6"/>
      <c r="BE26" s="6"/>
      <c r="BF26" s="6"/>
    </row>
    <row r="27">
      <c r="A27" s="189">
        <v>46182.0</v>
      </c>
      <c r="B27" s="183" t="s">
        <v>323</v>
      </c>
      <c r="C27" s="184">
        <v>948.0</v>
      </c>
      <c r="D27" s="184">
        <v>92.0</v>
      </c>
      <c r="E27" s="184">
        <v>274.0</v>
      </c>
      <c r="F27" s="185"/>
      <c r="G27" s="185"/>
      <c r="H27" s="184">
        <v>2.0</v>
      </c>
      <c r="I27" s="188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6"/>
      <c r="AX27" s="6"/>
      <c r="AY27" s="6"/>
      <c r="AZ27" s="6"/>
      <c r="BA27" s="6"/>
      <c r="BB27" s="6"/>
      <c r="BC27" s="6"/>
      <c r="BD27" s="6"/>
      <c r="BE27" s="6"/>
      <c r="BF27" s="6"/>
    </row>
    <row r="28">
      <c r="A28" s="189">
        <v>46182.0</v>
      </c>
      <c r="B28" s="183" t="s">
        <v>324</v>
      </c>
      <c r="C28" s="184">
        <v>1096.0</v>
      </c>
      <c r="D28" s="184">
        <v>328.0</v>
      </c>
      <c r="E28" s="184">
        <v>1.0</v>
      </c>
      <c r="F28" s="184">
        <v>64.0</v>
      </c>
      <c r="G28" s="184">
        <v>98.0</v>
      </c>
      <c r="H28" s="184">
        <v>97.0</v>
      </c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</row>
    <row r="29">
      <c r="A29" s="189">
        <v>46183.0</v>
      </c>
      <c r="B29" s="183" t="s">
        <v>325</v>
      </c>
      <c r="C29" s="187"/>
      <c r="D29" s="184">
        <v>228.0</v>
      </c>
      <c r="E29" s="184">
        <v>351.0</v>
      </c>
      <c r="F29" s="187"/>
      <c r="G29" s="184">
        <v>507.0</v>
      </c>
      <c r="H29" s="184">
        <v>642.0</v>
      </c>
      <c r="I29" s="188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</row>
    <row r="30">
      <c r="A30" s="189">
        <v>46183.0</v>
      </c>
      <c r="B30" s="183" t="s">
        <v>325</v>
      </c>
      <c r="C30" s="187"/>
      <c r="D30" s="187"/>
      <c r="E30" s="184">
        <v>997.0</v>
      </c>
      <c r="F30" s="187"/>
      <c r="G30" s="184">
        <v>614.0</v>
      </c>
      <c r="H30" s="184">
        <v>292.0</v>
      </c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</row>
    <row r="31">
      <c r="A31" s="189">
        <v>46184.0</v>
      </c>
      <c r="B31" s="183" t="s">
        <v>326</v>
      </c>
      <c r="C31" s="184">
        <v>650.0</v>
      </c>
      <c r="D31" s="184">
        <v>909.0</v>
      </c>
      <c r="E31" s="184">
        <v>738.0</v>
      </c>
      <c r="F31" s="187"/>
      <c r="G31" s="184">
        <v>98.0</v>
      </c>
      <c r="H31" s="184">
        <v>117.0</v>
      </c>
      <c r="I31" s="188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</row>
    <row r="32">
      <c r="A32" s="189">
        <v>46185.0</v>
      </c>
      <c r="B32" s="183" t="s">
        <v>327</v>
      </c>
      <c r="C32" s="184">
        <v>209.0</v>
      </c>
      <c r="D32" s="184">
        <v>141.0</v>
      </c>
      <c r="E32" s="184">
        <v>25.0</v>
      </c>
      <c r="F32" s="184">
        <v>56.0</v>
      </c>
      <c r="G32" s="184">
        <v>587.0</v>
      </c>
      <c r="H32" s="184">
        <v>397.0</v>
      </c>
      <c r="I32" s="188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</row>
    <row r="33">
      <c r="A33" s="189">
        <v>46198.0</v>
      </c>
      <c r="B33" s="183" t="s">
        <v>328</v>
      </c>
      <c r="C33" s="187"/>
      <c r="D33" s="187"/>
      <c r="E33" s="187"/>
      <c r="F33" s="187"/>
      <c r="G33" s="184">
        <v>598.0</v>
      </c>
      <c r="H33" s="184">
        <v>293.0</v>
      </c>
      <c r="I33" s="188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</row>
    <row r="34">
      <c r="A34" s="189">
        <v>46199.0</v>
      </c>
      <c r="B34" s="183" t="s">
        <v>329</v>
      </c>
      <c r="C34" s="184">
        <v>12.0</v>
      </c>
      <c r="D34" s="184">
        <v>125.0</v>
      </c>
      <c r="E34" s="184">
        <v>5.0</v>
      </c>
      <c r="F34" s="184">
        <v>33.0</v>
      </c>
      <c r="G34" s="184">
        <v>295.0</v>
      </c>
      <c r="H34" s="184">
        <v>347.0</v>
      </c>
      <c r="I34" s="188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</row>
    <row r="35">
      <c r="A35" s="189">
        <v>46203.0</v>
      </c>
      <c r="B35" s="183" t="s">
        <v>330</v>
      </c>
      <c r="C35" s="185"/>
      <c r="D35" s="184">
        <v>1196.0</v>
      </c>
      <c r="E35" s="185"/>
      <c r="F35" s="184">
        <v>27.0</v>
      </c>
      <c r="G35" s="185"/>
      <c r="H35" s="184">
        <v>216.0</v>
      </c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6"/>
      <c r="AX35" s="6"/>
      <c r="AY35" s="6"/>
      <c r="AZ35" s="6"/>
      <c r="BA35" s="6"/>
      <c r="BB35" s="6"/>
      <c r="BC35" s="6"/>
      <c r="BD35" s="6"/>
      <c r="BE35" s="6"/>
      <c r="BF35" s="6"/>
    </row>
    <row r="36">
      <c r="A36" s="182">
        <v>46205.0</v>
      </c>
      <c r="B36" s="183" t="s">
        <v>331</v>
      </c>
      <c r="C36" s="187"/>
      <c r="D36" s="184">
        <v>360.0</v>
      </c>
      <c r="E36" s="187"/>
      <c r="F36" s="187"/>
      <c r="G36" s="187"/>
      <c r="H36" s="184">
        <v>143.0</v>
      </c>
      <c r="I36" s="188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0"/>
      <c r="AX36" s="10"/>
      <c r="AY36" s="10"/>
      <c r="AZ36" s="10"/>
      <c r="BA36" s="10"/>
      <c r="BB36" s="10"/>
      <c r="BC36" s="10"/>
      <c r="BD36" s="10"/>
      <c r="BE36" s="10"/>
      <c r="BF36" s="10"/>
    </row>
    <row r="37">
      <c r="A37" s="197" t="s">
        <v>332</v>
      </c>
      <c r="B37" s="46"/>
      <c r="C37" s="198">
        <f t="shared" ref="C37:H37" si="2">SUM(C19:C36)</f>
        <v>4120</v>
      </c>
      <c r="D37" s="198">
        <f t="shared" si="2"/>
        <v>5944</v>
      </c>
      <c r="E37" s="198">
        <f t="shared" si="2"/>
        <v>10205</v>
      </c>
      <c r="F37" s="198">
        <f t="shared" si="2"/>
        <v>180</v>
      </c>
      <c r="G37" s="198">
        <f t="shared" si="2"/>
        <v>4900</v>
      </c>
      <c r="H37" s="198">
        <f t="shared" si="2"/>
        <v>4610</v>
      </c>
      <c r="I37" s="188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199"/>
      <c r="BD37" s="199"/>
      <c r="BE37" s="199"/>
      <c r="BF37" s="199"/>
    </row>
    <row r="38">
      <c r="A38" s="200" t="s">
        <v>333</v>
      </c>
      <c r="B38" s="46"/>
      <c r="C38" s="201">
        <f t="shared" ref="C38:H38" si="3">C16-C37</f>
        <v>0</v>
      </c>
      <c r="D38" s="201">
        <f t="shared" si="3"/>
        <v>0</v>
      </c>
      <c r="E38" s="201">
        <f t="shared" si="3"/>
        <v>0</v>
      </c>
      <c r="F38" s="201">
        <f t="shared" si="3"/>
        <v>14</v>
      </c>
      <c r="G38" s="201">
        <f t="shared" si="3"/>
        <v>0</v>
      </c>
      <c r="H38" s="201">
        <f t="shared" si="3"/>
        <v>0</v>
      </c>
      <c r="I38" s="110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</row>
    <row r="39">
      <c r="A39" s="188"/>
      <c r="B39" s="110"/>
      <c r="C39" s="110"/>
      <c r="D39" s="110"/>
      <c r="E39" s="110"/>
      <c r="F39" s="110"/>
      <c r="G39" s="110"/>
      <c r="H39" s="110"/>
      <c r="I39" s="110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</row>
    <row r="40">
      <c r="A40" s="202"/>
      <c r="B40" s="203"/>
      <c r="C40" s="110"/>
      <c r="D40" s="110"/>
      <c r="E40" s="110"/>
      <c r="F40" s="177"/>
      <c r="G40" s="110"/>
      <c r="H40" s="188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</row>
    <row r="41">
      <c r="A41" s="202"/>
      <c r="B41" s="188"/>
      <c r="C41" s="110"/>
      <c r="D41" s="110"/>
      <c r="E41" s="110"/>
      <c r="F41" s="110"/>
      <c r="G41" s="110"/>
      <c r="H41" s="188"/>
      <c r="I41" s="110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</row>
    <row r="42">
      <c r="A42" s="188"/>
      <c r="B42" s="177"/>
      <c r="C42" s="188"/>
      <c r="D42" s="188"/>
      <c r="E42" s="188"/>
      <c r="F42" s="204"/>
      <c r="G42" s="204"/>
      <c r="H42" s="188"/>
      <c r="I42" s="188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</row>
  </sheetData>
  <mergeCells count="5">
    <mergeCell ref="A1:H1"/>
    <mergeCell ref="A2:H2"/>
    <mergeCell ref="A16:B16"/>
    <mergeCell ref="A37:B37"/>
    <mergeCell ref="A38:B38"/>
  </mergeCells>
  <drawing r:id="rId1"/>
</worksheet>
</file>